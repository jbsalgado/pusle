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zembro 2025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<sst xmlns="http://schemas.openxmlformats.org/spreadsheetml/2006/main" count="134" uniqueCount="99">
  <si>
    <t xml:space="preserve">receita</t>
  </si>
  <si>
    <t xml:space="preserve">01</t>
  </si>
  <si>
    <t xml:space="preserve">02</t>
  </si>
  <si>
    <t xml:space="preserve">03</t>
  </si>
  <si>
    <t xml:space="preserve">04</t>
  </si>
  <si>
    <t xml:space="preserve">05</t>
  </si>
  <si>
    <t xml:space="preserve">06</t>
  </si>
  <si>
    <t xml:space="preserve">07</t>
  </si>
  <si>
    <t xml:space="preserve">08</t>
  </si>
  <si>
    <t xml:space="preserve">09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</si>
  <si>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</si>
  <si>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</si>
  <si>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</si>
  <si>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</si>
  <si>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</si>
  <si>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</si>
  <si>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</si>
  <si>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</si>
  <si>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</si>
  <si>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</si>
  <si>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</si>
  <si>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</si>
  <si>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</si>
  <si>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</si>
  <si>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</si>
  <si>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</si>
  <si>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</si>
  <si>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</si>
  <si>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</si>
  <si>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</si>
  <si>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</si>
  <si>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</si>
  <si>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debito</t>
  </si>
  <si>
    <t xml:space="preserve">credito</t>
  </si>
  <si>
    <t xml:space="preserve">pix</t>
  </si>
  <si>
    <t xml:space="preserve">cash</t>
  </si>
  <si>
    <t xml:space="preserve">total</t>
  </si>
  <si>
    <t xml:space="preserve">  </t>
  </si>
  <si>
    <t xml:space="preserve">despesa fixos</t>
  </si>
  <si>
    <t xml:space="preserve">salario</t>
  </si>
  <si>
    <t xml:space="preserve">aluguel</t>
  </si>
  <si>
    <t xml:space="preserve">provedor de internet</t>
  </si>
  <si>
    <t xml:space="preserve">agua compesa</t>
  </si>
  <si>
    <t xml:space="preserve">luz</t>
  </si>
  <si>
    <t xml:space="preserve">hospedagem host</t>
  </si>
  <si>
    <t xml:space="preserve">contador</t>
  </si>
  <si>
    <t xml:space="preserve">SIS INFORMAT  BARBOSA</t>
  </si>
  <si>
    <t xml:space="preserve">AGUA MINERAL</t>
  </si>
  <si>
    <t xml:space="preserve">despesa variavel</t>
  </si>
  <si>
    <t xml:space="preserve">sacolas</t>
  </si>
  <si>
    <t xml:space="preserve">suporte garrafão</t>
  </si>
  <si>
    <t xml:space="preserve">agua</t>
  </si>
  <si>
    <t xml:space="preserve">geladeira</t>
  </si>
  <si>
    <t xml:space="preserve">tintas oleo</t>
  </si>
  <si>
    <t xml:space="preserve">combustivel</t>
  </si>
  <si>
    <t xml:space="preserve">almoço</t>
  </si>
  <si>
    <t xml:space="preserve">pintor</t>
  </si>
  <si>
    <t xml:space="preserve">compras de mercadoria</t>
  </si>
  <si>
    <t xml:space="preserve">femac GARANHUNS</t>
  </si>
  <si>
    <t xml:space="preserve">ponto a ponto</t>
  </si>
  <si>
    <t xml:space="preserve">argamassas quartzolit</t>
  </si>
  <si>
    <t xml:space="preserve">xavier pix</t>
  </si>
  <si>
    <t xml:space="preserve">jd tintas</t>
  </si>
  <si>
    <t xml:space="preserve">lins numeros</t>
  </si>
  <si>
    <t xml:space="preserve">confirmar</t>
  </si>
  <si>
    <t xml:space="preserve">pias de fibra resinort</t>
  </si>
  <si>
    <t xml:space="preserve">tanque pias de cimento</t>
  </si>
  <si>
    <t xml:space="preserve">ferreira costa</t>
  </si>
  <si>
    <t xml:space="preserve">PASTILHA CLORO</t>
  </si>
  <si>
    <t xml:space="preserve">argamassa ultramassa</t>
  </si>
  <si>
    <t xml:space="preserve">trenas</t>
  </si>
  <si>
    <t xml:space="preserve">cimento </t>
  </si>
  <si>
    <t xml:space="preserve">bucha polimento</t>
  </si>
  <si>
    <t xml:space="preserve">pilhas</t>
  </si>
  <si>
    <t xml:space="preserve">gesso</t>
  </si>
  <si>
    <t xml:space="preserve">fitas adesivas</t>
  </si>
  <si>
    <t xml:space="preserve">despesas</t>
  </si>
  <si>
    <t xml:space="preserve">MEDIA MENSAL DE RECEITA DIA</t>
  </si>
  <si>
    <t xml:space="preserve">diferença</t>
  </si>
  <si>
    <t xml:space="preserve">OUT</t>
  </si>
  <si>
    <t xml:space="preserve">NOV</t>
  </si>
  <si>
    <t xml:space="preserve">DEZ</t>
  </si>
  <si>
    <t xml:space="preserve">JAN</t>
  </si>
  <si>
    <t xml:space="preserve">fev</t>
  </si>
  <si>
    <t xml:space="preserve">MAR</t>
  </si>
  <si>
    <t xml:space="preserve">ABR</t>
  </si>
  <si>
    <t xml:space="preserve">RECEITA POR MES</t>
  </si>
  <si>
    <t xml:space="preserve">CUSTO FIXO MENSAL</t>
  </si>
  <si>
    <t xml:space="preserve">CUSTO VARIAVEL MENSAL</t>
  </si>
  <si>
    <t xml:space="preserve">CUSTO MERCADORIA MENSAL</t>
  </si>
  <si>
    <t xml:space="preserve">out</t>
  </si>
  <si>
    <t xml:space="preserve">nov</t>
  </si>
  <si>
    <t xml:space="preserve">dez</t>
  </si>
  <si>
    <t xml:space="preserve">jan</t>
  </si>
  <si>
    <t xml:space="preserve">mar</t>
  </si>
  <si>
    <t xml:space="preserve">abr</t>
  </si>
  <si>
    <t xml:space="preserve">mai</t>
  </si>
  <si>
    <t xml:space="preserve">jun</t>
  </si>
  <si>
    <t xml:space="preserve">jul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</si>
</sst>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&quot;R$ &quot;#,##0.00;&quot;-R$ &quot;#,##0.00"/>
    <numFmt numFmtId="166" formatCode="&quot;R$ &quot;#,##0.00_);[RED]&quot;(R$ &quot;#,###.00\)"/>
    <numFmt numFmtId="167" formatCode="@"/>
  </numFmts>
  <fonts count="24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Calibri"/>
      <family val="0"/>
      <charset val="1"/>
    </font>
    <font>
      <sz val="11"/>
      <color rgb="FF006100"/>
      <name val="Calibri"/>
      <family val="0"/>
      <charset val="1"/>
    </font>
    <font>
      <sz val="11"/>
      <name val="Calibri"/>
      <family val="0"/>
      <charset val="1"/>
    </font>
    <font>
      <b val="true"/>
      <sz val="10"/>
      <color rgb="FF2E75B5"/>
      <name val="Calibri"/>
      <family val="0"/>
      <charset val="1"/>
    </font>
    <font>
      <sz val="12"/>
      <name val="Calibri"/>
      <family val="0"/>
      <charset val="1"/>
    </font>
    <font>
      <b val="true"/>
      <sz val="12"/>
      <color rgb="FF2F5496"/>
      <name val="Calibri"/>
      <family val="0"/>
      <charset val="1"/>
    </font>
    <font>
      <b val="true"/>
      <sz val="10"/>
      <name val="Calibri"/>
      <family val="0"/>
      <charset val="1"/>
    </font>
    <font>
      <sz val="10"/>
      <color rgb="FF002060"/>
      <name val="Calibri"/>
      <family val="0"/>
      <charset val="1"/>
    </font>
    <font>
      <b val="true"/>
      <sz val="10"/>
      <color rgb="FFFF0000"/>
      <name val="Calibri"/>
      <family val="0"/>
      <charset val="1"/>
    </font>
    <font>
      <sz val="10"/>
      <color rgb="FFFF0000"/>
      <name val="Calibri"/>
      <family val="0"/>
      <charset val="1"/>
    </font>
    <font>
      <b val="true"/>
      <sz val="12"/>
      <color rgb="FFFF0000"/>
      <name val="Calibri"/>
      <family val="0"/>
      <charset val="1"/>
    </font>
    <font>
      <b val="true"/>
      <sz val="12"/>
      <color rgb="FF0070C0"/>
      <name val="Calibri"/>
      <family val="0"/>
      <charset val="1"/>
    </font>
    <font>
      <b val="true"/>
      <sz val="11"/>
      <color rgb="FF2E75B5"/>
      <name val="Calibri"/>
      <family val="0"/>
      <charset val="1"/>
    </font>
    <font>
      <b val="true"/>
      <sz val="11"/>
      <color rgb="FFC00000"/>
      <name val="Calibri"/>
      <family val="0"/>
      <charset val="1"/>
    </font>
    <font>
      <b val="true"/>
      <sz val="12"/>
      <color rgb="FFC00000"/>
      <name val="Calibri"/>
      <family val="0"/>
      <charset val="1"/>
    </font>
    <font>
      <b val="true"/>
      <sz val="12"/>
      <name val="Calibri"/>
      <family val="0"/>
      <charset val="1"/>
    </font>
    <font>
      <b val="true"/>
      <sz val="14"/>
      <color rgb="FF757575"/>
      <name val="Calibri"/>
      <family val="2"/>
    </font>
    <font>
      <sz val="10"/>
      <color rgb="FF000000"/>
      <name val="Calibri"/>
      <family val="2"/>
    </font>
    <font>
      <sz val="9"/>
      <color rgb="FF000000"/>
      <name val="Calibri"/>
      <family val="2"/>
    </font>
    <font>
      <sz val="9"/>
      <color rgb="FF1A1A1A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BDD7EE"/>
        <bgColor rgb="FFD9D9D9"/>
      </patternFill>
    </fill>
    <fill>
      <patternFill patternType="solid">
        <fgColor rgb="FFC6EFCE"/>
        <bgColor rgb="FFE2EFD9"/>
      </patternFill>
    </fill>
    <fill>
      <patternFill patternType="solid">
        <fgColor rgb="FFDBDBDB"/>
        <bgColor rgb="FFD9D9D9"/>
      </patternFill>
    </fill>
    <fill>
      <patternFill patternType="solid">
        <fgColor rgb="FFE7E6E6"/>
        <bgColor rgb="FFE2EFD9"/>
      </patternFill>
    </fill>
    <fill>
      <patternFill patternType="solid">
        <fgColor rgb="FFF7CBAC"/>
        <bgColor rgb="FFFBE5D5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9900"/>
      </patternFill>
    </fill>
    <fill>
      <patternFill patternType="solid">
        <fgColor rgb="FF9CC3E5"/>
        <bgColor rgb="FFB7B7B7"/>
      </patternFill>
    </fill>
    <fill>
      <patternFill patternType="solid">
        <fgColor rgb="FFFBE5D5"/>
        <bgColor rgb="FFE7E6E6"/>
      </patternFill>
    </fill>
    <fill>
      <patternFill patternType="solid">
        <fgColor rgb="FFE2EFD9"/>
        <bgColor rgb="FFE7E6E6"/>
      </patternFill>
    </fill>
  </fills>
  <borders count="16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4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4" fillId="4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4" fillId="5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6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4" fillId="6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6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4" fillId="6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6" fillId="3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4" fillId="2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4" fillId="0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4" fillId="0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4" fillId="2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4" fillId="0" borderId="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7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4" fillId="7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7" fillId="7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8" fillId="7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9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4" fillId="2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8" borderId="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10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11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12" fillId="0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12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0" borderId="9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2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9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7" borderId="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3" fillId="0" borderId="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4" fillId="7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4" fillId="2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8" fillId="7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1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9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8" fillId="7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13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8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8" borderId="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4" fillId="8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10" fillId="8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12" fillId="8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8" fillId="8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7" borderId="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4" fillId="1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1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1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1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15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16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1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17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17" fillId="7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14" fillId="7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17" fillId="7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8" fillId="5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8" fillId="11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8" fillId="6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18" fillId="5" borderId="1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19" fillId="5" borderId="1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19" fillId="5" borderId="1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5" borderId="1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5" borderId="15" xfId="0" applyFont="true" applyBorder="true" applyAlignment="true" applyProtection="tru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C00000"/>
      <rgbColor rgb="FF006100"/>
      <rgbColor rgb="FF000080"/>
      <rgbColor rgb="FF808000"/>
      <rgbColor rgb="FF800080"/>
      <rgbColor rgb="FF2E75B5"/>
      <rgbColor rgb="FFB7B7B7"/>
      <rgbColor rgb="FF757575"/>
      <rgbColor rgb="FF9999FF"/>
      <rgbColor rgb="FF993366"/>
      <rgbColor rgb="FFFBE5D5"/>
      <rgbColor rgb="FFE2EFD9"/>
      <rgbColor rgb="FF660066"/>
      <rgbColor rgb="FFFF8080"/>
      <rgbColor rgb="FF0070C0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BDBDB"/>
      <rgbColor rgb="FFC6EFCE"/>
      <rgbColor rgb="FFD9D9D9"/>
      <rgbColor rgb="FF9CC3E5"/>
      <rgbColor rgb="FFFF99CC"/>
      <rgbColor rgb="FFCC99FF"/>
      <rgbColor rgb="FFF7CBAC"/>
      <rgbColor rgb="FF4285F4"/>
      <rgbColor rgb="FF33CCCC"/>
      <rgbColor rgb="FF99CC00"/>
      <rgbColor rgb="FFFFC000"/>
      <rgbColor rgb="FFFF9900"/>
      <rgbColor rgb="FFEA4335"/>
      <rgbColor rgb="FF666699"/>
      <rgbColor rgb="FF8B8B8B"/>
      <rgbColor rgb="FF002060"/>
      <rgbColor rgb="FF339966"/>
      <rgbColor rgb="FF003300"/>
      <rgbColor rgb="FF333300"/>
      <rgbColor rgb="FF993300"/>
      <rgbColor rgb="FF993366"/>
      <rgbColor rgb="FF2F5496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400" b="1" u="none" strike="noStrike">
                <a:solidFill>
                  <a:srgbClr val="757575"/>
                </a:solidFill>
                <a:uFillTx/>
                <a:latin typeface="Calibri"/>
              </a:rPr>
              <a:t>MÉDIA DIÁRA DE RECEITA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137866573197804"/>
          <c:y val="0.135600563197227"/>
          <c:w val="0.858102582077346"/>
          <c:h val="0.752409834290047"/>
        </c:manualLayout>
      </c:layout>
      <c:lineChart>
        <c:grouping val="standard"/>
        <c:varyColors val="0"/>
        <c:ser>
          <c:idx val="0"/>
          <c:order val="0"/>
          <c:spPr>
            <a:solidFill>
              <a:srgbClr val="4285f4"/>
            </a:solidFill>
            <a:ln w="28440">
              <a:solidFill>
                <a:srgbClr val="4285f4"/>
              </a:solidFill>
              <a:round/>
            </a:ln>
          </c:spPr>
          <c:marker>
            <c:symbol val="none"/>
          </c:marker>
          <c:dLbls>
            <c:numFmt formatCode="General" sourceLinked="1"/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'dezembro 2025'!$Z$71:$AF$71</c:f>
              <c:strCache>
                <c:ptCount val="7"/>
                <c:pt idx="0">
                  <c:v>OUT</c:v>
                </c:pt>
                <c:pt idx="1">
                  <c:v>NOV</c:v>
                </c:pt>
                <c:pt idx="2">
                  <c:v>DEZ</c:v>
                </c:pt>
                <c:pt idx="3">
                  <c:v>JAN</c:v>
                </c:pt>
                <c:pt idx="4">
                  <c:v>fev</c:v>
                </c:pt>
                <c:pt idx="5">
                  <c:v>MAR</c:v>
                </c:pt>
                <c:pt idx="6">
                  <c:v>ABR</c:v>
                </c:pt>
              </c:strCache>
            </c:strRef>
          </c:cat>
          <c:val>
            <c:numRef>
              <c:f>'dezembro 2025'!$Z$72:$AF$72</c:f>
              <c:numCache>
                <c:formatCode>"R$ "#,##0.00;"-R$ "#,##0.00</c:formatCode>
                <c:ptCount val="7"/>
                <c:pt idx="0">
                  <c:v>664</c:v>
                </c:pt>
                <c:pt idx="1">
                  <c:v>755</c:v>
                </c:pt>
                <c:pt idx="2">
                  <c:v>1116</c:v>
                </c:pt>
                <c:pt idx="3">
                  <c:v>1324</c:v>
                </c:pt>
                <c:pt idx="4">
                  <c:v>1661</c:v>
                </c:pt>
                <c:pt idx="5">
                  <c:v>1682.3</c:v>
                </c:pt>
                <c:pt idx="6">
                  <c:v>1405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4777690"/>
        <c:axId val="37139477"/>
      </c:lineChart>
      <c:catAx>
        <c:axId val="1477769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7139477"/>
        <c:crosses val="autoZero"/>
        <c:auto val="1"/>
        <c:lblAlgn val="ctr"/>
        <c:lblOffset val="100"/>
        <c:noMultiLvlLbl val="0"/>
      </c:catAx>
      <c:valAx>
        <c:axId val="37139477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477769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u="none" strike="noStrike">
              <a:solidFill>
                <a:srgbClr val="1a1a1a"/>
              </a:solidFill>
              <a:uFillTx/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400" b="1" u="none" strike="noStrike">
                <a:solidFill>
                  <a:srgbClr val="757575"/>
                </a:solidFill>
                <a:uFillTx/>
                <a:latin typeface="Calibri"/>
              </a:rPr>
              <a:t>RECEITA X DESPESAS MENSAIS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150205887775797"/>
          <c:y val="0.131213753106877"/>
          <c:w val="0.811812427017393"/>
          <c:h val="0.692522783761392"/>
        </c:manualLayout>
      </c:layout>
      <c:lineChart>
        <c:grouping val="standard"/>
        <c:varyColors val="0"/>
        <c:ser>
          <c:idx val="0"/>
          <c:order val="0"/>
          <c:tx>
            <c:strRef>
              <c:f>'dezembro 2025'!$A$1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4285f4"/>
            </a:solidFill>
            <a:ln w="28440">
              <a:solidFill>
                <a:srgbClr val="4285f4"/>
              </a:solidFill>
              <a:round/>
            </a:ln>
          </c:spPr>
          <c:marker>
            <c:symbol val="none"/>
          </c:marker>
          <c:dLbls>
            <c:numFmt formatCode="General" sourceLinked="1"/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'dezembro 2025'!$T$91:$Z$91</c:f>
              <c:strCache>
                <c:ptCount val="7"/>
                <c:pt idx="0">
                  <c:v>out</c:v>
                </c:pt>
                <c:pt idx="1">
                  <c:v>nov</c:v>
                </c:pt>
                <c:pt idx="2">
                  <c:v>dez</c:v>
                </c:pt>
                <c:pt idx="3">
                  <c:v>jan</c:v>
                </c:pt>
                <c:pt idx="4">
                  <c:v>fev</c:v>
                </c:pt>
                <c:pt idx="5">
                  <c:v>mar</c:v>
                </c:pt>
                <c:pt idx="6">
                  <c:v>abr</c:v>
                </c:pt>
              </c:strCache>
            </c:strRef>
          </c:cat>
          <c:val>
            <c:numRef>
              <c:f>'dezembro 2025'!$T$92:$Y$92</c:f>
              <c:numCache>
                <c:formatCode>"R$ "#,##0.00;"-R$ "#,##0.00</c:formatCode>
                <c:ptCount val="6"/>
                <c:pt idx="0">
                  <c:v>7304</c:v>
                </c:pt>
                <c:pt idx="1">
                  <c:v>19652.62</c:v>
                </c:pt>
                <c:pt idx="2">
                  <c:v>29021.88</c:v>
                </c:pt>
                <c:pt idx="3">
                  <c:v>34131.36</c:v>
                </c:pt>
                <c:pt idx="4">
                  <c:v>40454</c:v>
                </c:pt>
                <c:pt idx="5">
                  <c:v>43732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'dezembro 2025'!$A$1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ea4335"/>
            </a:solidFill>
            <a:ln w="28440">
              <a:solidFill>
                <a:srgbClr val="ea4335"/>
              </a:solidFill>
              <a:round/>
            </a:ln>
          </c:spPr>
          <c:marker>
            <c:symbol val="none"/>
          </c:marker>
          <c:dLbls>
            <c:numFmt formatCode="General" sourceLinked="1"/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'dezembro 2025'!$T$91:$Z$91</c:f>
              <c:strCache>
                <c:ptCount val="7"/>
                <c:pt idx="0">
                  <c:v>out</c:v>
                </c:pt>
                <c:pt idx="1">
                  <c:v>nov</c:v>
                </c:pt>
                <c:pt idx="2">
                  <c:v>dez</c:v>
                </c:pt>
                <c:pt idx="3">
                  <c:v>jan</c:v>
                </c:pt>
                <c:pt idx="4">
                  <c:v>fev</c:v>
                </c:pt>
                <c:pt idx="5">
                  <c:v>mar</c:v>
                </c:pt>
                <c:pt idx="6">
                  <c:v>abr</c:v>
                </c:pt>
              </c:strCache>
            </c:strRef>
          </c:cat>
          <c:val>
            <c:numRef>
              <c:f>'dezembro 2025'!$T$93:$Y$93</c:f>
              <c:numCache>
                <c:formatCode>"R$ "#,##0.00;"-R$ "#,##0.00</c:formatCode>
                <c:ptCount val="6"/>
                <c:pt idx="0">
                  <c:v>14995.69</c:v>
                </c:pt>
                <c:pt idx="1">
                  <c:v>13495.17</c:v>
                </c:pt>
                <c:pt idx="2">
                  <c:v>19655.44</c:v>
                </c:pt>
                <c:pt idx="3">
                  <c:v>24709.87</c:v>
                </c:pt>
                <c:pt idx="4">
                  <c:v>30681</c:v>
                </c:pt>
                <c:pt idx="5">
                  <c:v>28139.23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7643592"/>
        <c:axId val="6368239"/>
      </c:lineChart>
      <c:catAx>
        <c:axId val="1764359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368239"/>
        <c:crosses val="autoZero"/>
        <c:auto val="1"/>
        <c:lblAlgn val="ctr"/>
        <c:lblOffset val="100"/>
        <c:noMultiLvlLbl val="0"/>
      </c:catAx>
      <c:valAx>
        <c:axId val="6368239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764359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u="none" strike="noStrike">
              <a:solidFill>
                <a:srgbClr val="1a1a1a"/>
              </a:solidFill>
              <a:uFillTx/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32</xdr:col>
      <xdr:colOff>57240</xdr:colOff>
      <xdr:row>68</xdr:row>
      <xdr:rowOff>123840</xdr:rowOff>
    </xdr:from>
    <xdr:to>
      <xdr:col>40</xdr:col>
      <xdr:colOff>97920</xdr:colOff>
      <xdr:row>89</xdr:row>
      <xdr:rowOff>75600</xdr:rowOff>
    </xdr:to>
    <xdr:graphicFrame>
      <xdr:nvGraphicFramePr>
        <xdr:cNvPr id="1" name="Chart 1"/>
        <xdr:cNvGraphicFramePr/>
      </xdr:nvGraphicFramePr>
      <xdr:xfrm>
        <a:off x="27890640" y="11134800"/>
        <a:ext cx="6162120" cy="3323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41</xdr:col>
      <xdr:colOff>219240</xdr:colOff>
      <xdr:row>69</xdr:row>
      <xdr:rowOff>38160</xdr:rowOff>
    </xdr:from>
    <xdr:to>
      <xdr:col>50</xdr:col>
      <xdr:colOff>458640</xdr:colOff>
      <xdr:row>90</xdr:row>
      <xdr:rowOff>142200</xdr:rowOff>
    </xdr:to>
    <xdr:graphicFrame>
      <xdr:nvGraphicFramePr>
        <xdr:cNvPr id="2" name="Chart 2"/>
        <xdr:cNvGraphicFramePr/>
      </xdr:nvGraphicFramePr>
      <xdr:xfrm>
        <a:off x="34798320" y="11211120"/>
        <a:ext cx="5857200" cy="3475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Z100"/>
  <sheetViews>
    <sheetView showFormulas="false" showGridLines="true" showRowColHeaders="true" showZeros="true" rightToLeft="false" tabSelected="true" showOutlineSymbols="true" defaultGridColor="true" view="normal" topLeftCell="A1" colorId="64" zoomScale="50" zoomScaleNormal="5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4.14"/>
    <col collapsed="false" customWidth="true" hidden="false" outlineLevel="0" max="2" min="2" style="1" width="23"/>
    <col collapsed="false" customWidth="true" hidden="false" outlineLevel="0" max="3" min="3" style="1" width="9.86"/>
    <col collapsed="false" customWidth="true" hidden="false" outlineLevel="0" max="7" min="4" style="1" width="11.43"/>
    <col collapsed="false" customWidth="true" hidden="false" outlineLevel="0" max="8" min="8" style="1" width="9.86"/>
    <col collapsed="false" customWidth="true" hidden="false" outlineLevel="0" max="9" min="9" style="1" width="8.86"/>
    <col collapsed="false" customWidth="true" hidden="false" outlineLevel="0" max="11" min="10" style="1" width="11.43"/>
    <col collapsed="false" customWidth="true" hidden="false" outlineLevel="0" max="12" min="12" style="1" width="9.86"/>
    <col collapsed="false" customWidth="true" hidden="false" outlineLevel="0" max="13" min="13" style="1" width="11.43"/>
    <col collapsed="false" customWidth="true" hidden="false" outlineLevel="0" max="14" min="14" style="1" width="9.86"/>
    <col collapsed="false" customWidth="true" hidden="false" outlineLevel="0" max="15" min="15" style="1" width="11.43"/>
    <col collapsed="false" customWidth="true" hidden="false" outlineLevel="0" max="16" min="16" style="1" width="8.86"/>
    <col collapsed="false" customWidth="true" hidden="false" outlineLevel="0" max="17" min="17" style="1" width="11.43"/>
    <col collapsed="false" customWidth="true" hidden="false" outlineLevel="0" max="18" min="18" style="1" width="9.86"/>
    <col collapsed="false" customWidth="true" hidden="false" outlineLevel="0" max="19" min="19" style="1" width="11.43"/>
    <col collapsed="false" customWidth="true" hidden="false" outlineLevel="0" max="20" min="20" style="1" width="14.29"/>
    <col collapsed="false" customWidth="true" hidden="false" outlineLevel="0" max="23" min="21" style="1" width="14.86"/>
    <col collapsed="false" customWidth="true" hidden="false" outlineLevel="0" max="26" min="25" style="1" width="14.86"/>
    <col collapsed="false" customWidth="true" hidden="false" outlineLevel="0" max="27" min="27" style="1" width="14.14"/>
    <col collapsed="false" customWidth="true" hidden="false" outlineLevel="0" max="32" min="28" style="1" width="13.86"/>
    <col collapsed="false" customWidth="true" hidden="false" outlineLevel="0" max="33" min="33" style="1" width="9.86"/>
    <col collapsed="false" customWidth="true" hidden="false" outlineLevel="0" max="34" min="34" style="1" width="14.14"/>
    <col collapsed="false" customWidth="true" hidden="false" outlineLevel="0" max="36" min="35" style="1" width="13.71"/>
    <col collapsed="false" customWidth="true" hidden="false" outlineLevel="0" max="52" min="37" style="1" width="8.86"/>
  </cols>
  <sheetData>
    <row r="1" customFormat="false" ht="12.75" hidden="false" customHeight="true" outlineLevel="0" collapsed="false">
      <c r="I1" s="2"/>
      <c r="T1" s="3"/>
      <c r="W1" s="2"/>
    </row>
    <row r="2" customFormat="false" ht="12.75" hidden="false" customHeight="true" outlineLevel="0" collapsed="false">
      <c r="I2" s="2"/>
      <c r="P2" s="2"/>
      <c r="T2" s="3"/>
      <c r="W2" s="2"/>
      <c r="AD2" s="2"/>
    </row>
    <row r="3" customFormat="false" ht="12.75" hidden="false" customHeight="true" outlineLevel="0" collapsed="false">
      <c r="B3" s="1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2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2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2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26</v>
      </c>
      <c r="AC3" s="3" t="s">
        <v>27</v>
      </c>
      <c r="AD3" s="2" t="s">
        <v>28</v>
      </c>
      <c r="AE3" s="3" t="s">
        <v>29</v>
      </c>
      <c r="AF3" s="3" t="s">
        <v>30</v>
      </c>
      <c r="AG3" s="3" t="s">
        <v>31</v>
      </c>
      <c r="AH3" s="4"/>
    </row>
    <row r="4" customFormat="false" ht="12.75" hidden="false" customHeight="true" outlineLevel="0" collapsed="false">
      <c r="B4" s="5" t="s">
        <v>32</v>
      </c>
      <c r="C4" s="6" t="n">
        <v>94.75</v>
      </c>
      <c r="D4" s="6" t="n">
        <v>114.2</v>
      </c>
      <c r="E4" s="6" t="n">
        <v>112.5</v>
      </c>
      <c r="F4" s="6" t="n">
        <v>88.67</v>
      </c>
      <c r="G4" s="5" t="n">
        <v>40.25</v>
      </c>
      <c r="H4" s="6" t="n">
        <v>81.78</v>
      </c>
      <c r="I4" s="6"/>
      <c r="J4" s="6" t="n">
        <v>195</v>
      </c>
      <c r="K4" s="6" t="n">
        <v>50.5</v>
      </c>
      <c r="L4" s="6" t="n">
        <v>60</v>
      </c>
      <c r="M4" s="6" t="n">
        <v>109</v>
      </c>
      <c r="N4" s="6" t="n">
        <v>47</v>
      </c>
      <c r="O4" s="6" t="n">
        <v>70</v>
      </c>
      <c r="P4" s="6"/>
      <c r="Q4" s="6" t="n">
        <v>333.5</v>
      </c>
      <c r="R4" s="6" t="n">
        <v>44</v>
      </c>
      <c r="S4" s="7" t="n">
        <v>70</v>
      </c>
      <c r="T4" s="7" t="n">
        <v>17.4</v>
      </c>
      <c r="U4" s="7" t="n">
        <v>96</v>
      </c>
      <c r="V4" s="7" t="n">
        <v>116</v>
      </c>
      <c r="W4" s="7"/>
      <c r="X4" s="7" t="n">
        <v>152.5</v>
      </c>
      <c r="Y4" s="7" t="n">
        <v>323</v>
      </c>
      <c r="Z4" s="7" t="n">
        <v>352</v>
      </c>
      <c r="AA4" s="7"/>
      <c r="AB4" s="7" t="n">
        <v>502.5</v>
      </c>
      <c r="AC4" s="7" t="n">
        <v>57</v>
      </c>
      <c r="AD4" s="7"/>
      <c r="AE4" s="7" t="n">
        <v>134.5</v>
      </c>
      <c r="AF4" s="7" t="n">
        <v>58</v>
      </c>
      <c r="AG4" s="7"/>
      <c r="AH4" s="4" t="n">
        <f aca="false">SUM(C4:AG4)</f>
        <v>3320.05</v>
      </c>
    </row>
    <row r="5" customFormat="false" ht="12.75" hidden="false" customHeight="true" outlineLevel="0" collapsed="false">
      <c r="B5" s="8" t="s">
        <v>33</v>
      </c>
      <c r="C5" s="9" t="n">
        <v>99</v>
      </c>
      <c r="D5" s="9" t="n">
        <v>110</v>
      </c>
      <c r="E5" s="9" t="n">
        <v>135.8</v>
      </c>
      <c r="F5" s="9" t="n">
        <v>95.03</v>
      </c>
      <c r="G5" s="10" t="n">
        <v>53.63</v>
      </c>
      <c r="H5" s="9"/>
      <c r="I5" s="9"/>
      <c r="J5" s="9" t="n">
        <v>70.38</v>
      </c>
      <c r="K5" s="9" t="n">
        <v>75</v>
      </c>
      <c r="L5" s="9" t="n">
        <v>24.88</v>
      </c>
      <c r="M5" s="9" t="n">
        <v>161.12</v>
      </c>
      <c r="N5" s="9"/>
      <c r="O5" s="9" t="n">
        <v>133.5</v>
      </c>
      <c r="P5" s="9"/>
      <c r="Q5" s="9" t="n">
        <v>11.55</v>
      </c>
      <c r="R5" s="9" t="n">
        <v>14.17</v>
      </c>
      <c r="S5" s="9" t="n">
        <v>72.5</v>
      </c>
      <c r="T5" s="9" t="n">
        <v>52.5</v>
      </c>
      <c r="U5" s="9" t="n">
        <v>66.15</v>
      </c>
      <c r="V5" s="9" t="n">
        <v>395.35</v>
      </c>
      <c r="W5" s="9"/>
      <c r="X5" s="9" t="n">
        <v>185.22</v>
      </c>
      <c r="Y5" s="9" t="n">
        <v>82.5</v>
      </c>
      <c r="Z5" s="9"/>
      <c r="AA5" s="9"/>
      <c r="AB5" s="9" t="n">
        <v>82</v>
      </c>
      <c r="AC5" s="9" t="n">
        <v>62.47</v>
      </c>
      <c r="AD5" s="9"/>
      <c r="AE5" s="9"/>
      <c r="AF5" s="9" t="n">
        <v>68.98</v>
      </c>
      <c r="AG5" s="11" t="n">
        <v>289.8</v>
      </c>
      <c r="AH5" s="12" t="n">
        <f aca="false">SUM(C5:AG5)</f>
        <v>2341.53</v>
      </c>
    </row>
    <row r="6" customFormat="false" ht="12.75" hidden="false" customHeight="true" outlineLevel="0" collapsed="false">
      <c r="B6" s="13" t="s">
        <v>34</v>
      </c>
      <c r="C6" s="14" t="n">
        <v>337.5</v>
      </c>
      <c r="D6" s="14" t="n">
        <v>276</v>
      </c>
      <c r="E6" s="14" t="n">
        <v>274.5</v>
      </c>
      <c r="F6" s="14" t="n">
        <v>164.5</v>
      </c>
      <c r="G6" s="15" t="n">
        <v>257.4</v>
      </c>
      <c r="H6" s="14" t="n">
        <v>427.75</v>
      </c>
      <c r="I6" s="16"/>
      <c r="J6" s="14" t="n">
        <v>203.05</v>
      </c>
      <c r="K6" s="14" t="n">
        <v>339</v>
      </c>
      <c r="L6" s="14" t="n">
        <v>75</v>
      </c>
      <c r="M6" s="14" t="n">
        <v>781.8</v>
      </c>
      <c r="N6" s="14" t="n">
        <v>318</v>
      </c>
      <c r="O6" s="14" t="n">
        <v>444.6</v>
      </c>
      <c r="P6" s="16"/>
      <c r="Q6" s="14" t="n">
        <v>294.5</v>
      </c>
      <c r="R6" s="14" t="n">
        <v>357</v>
      </c>
      <c r="S6" s="14" t="n">
        <v>629</v>
      </c>
      <c r="T6" s="14" t="n">
        <v>807.5</v>
      </c>
      <c r="U6" s="14" t="n">
        <v>541</v>
      </c>
      <c r="V6" s="14" t="n">
        <v>342.5</v>
      </c>
      <c r="W6" s="16" t="n">
        <v>104.5</v>
      </c>
      <c r="X6" s="14" t="n">
        <v>884</v>
      </c>
      <c r="Y6" s="14" t="n">
        <v>758</v>
      </c>
      <c r="Z6" s="14" t="n">
        <v>151.2</v>
      </c>
      <c r="AA6" s="14"/>
      <c r="AB6" s="14" t="n">
        <v>519</v>
      </c>
      <c r="AC6" s="14" t="n">
        <v>398.5</v>
      </c>
      <c r="AD6" s="16"/>
      <c r="AE6" s="14" t="n">
        <v>492.5</v>
      </c>
      <c r="AF6" s="14" t="n">
        <v>550</v>
      </c>
      <c r="AG6" s="17" t="n">
        <v>195</v>
      </c>
      <c r="AH6" s="4" t="n">
        <f aca="false">SUM(C6:AG6)</f>
        <v>10923.3</v>
      </c>
    </row>
    <row r="7" customFormat="false" ht="12.75" hidden="false" customHeight="true" outlineLevel="0" collapsed="false">
      <c r="B7" s="18" t="s">
        <v>35</v>
      </c>
      <c r="C7" s="19" t="n">
        <v>405</v>
      </c>
      <c r="D7" s="19" t="n">
        <v>610</v>
      </c>
      <c r="E7" s="19" t="n">
        <v>397</v>
      </c>
      <c r="F7" s="19" t="n">
        <v>654</v>
      </c>
      <c r="G7" s="14" t="n">
        <v>460</v>
      </c>
      <c r="H7" s="19" t="n">
        <v>417</v>
      </c>
      <c r="I7" s="20"/>
      <c r="J7" s="19" t="n">
        <v>421</v>
      </c>
      <c r="K7" s="19" t="n">
        <v>386</v>
      </c>
      <c r="L7" s="19" t="n">
        <v>257</v>
      </c>
      <c r="M7" s="19" t="n">
        <v>450</v>
      </c>
      <c r="N7" s="19" t="n">
        <v>460</v>
      </c>
      <c r="O7" s="19" t="n">
        <v>505</v>
      </c>
      <c r="P7" s="20"/>
      <c r="Q7" s="19" t="n">
        <v>588</v>
      </c>
      <c r="R7" s="19" t="n">
        <v>314</v>
      </c>
      <c r="S7" s="19" t="n">
        <v>860</v>
      </c>
      <c r="T7" s="19" t="n">
        <v>346</v>
      </c>
      <c r="U7" s="19" t="n">
        <v>313</v>
      </c>
      <c r="V7" s="19" t="n">
        <v>331</v>
      </c>
      <c r="W7" s="20"/>
      <c r="X7" s="19" t="n">
        <v>306</v>
      </c>
      <c r="Y7" s="19" t="n">
        <v>382</v>
      </c>
      <c r="Z7" s="19" t="n">
        <v>322</v>
      </c>
      <c r="AA7" s="19"/>
      <c r="AB7" s="19" t="n">
        <v>565</v>
      </c>
      <c r="AC7" s="19" t="n">
        <v>569</v>
      </c>
      <c r="AD7" s="20"/>
      <c r="AE7" s="19" t="n">
        <v>573</v>
      </c>
      <c r="AF7" s="19" t="n">
        <v>1187</v>
      </c>
      <c r="AG7" s="21" t="n">
        <v>359</v>
      </c>
      <c r="AH7" s="4" t="n">
        <f aca="false">SUM(C7:AG7)</f>
        <v>12437</v>
      </c>
    </row>
    <row r="8" customFormat="false" ht="12.75" hidden="false" customHeight="true" outlineLevel="0" collapsed="false">
      <c r="B8" s="22" t="s">
        <v>36</v>
      </c>
      <c r="C8" s="23" t="n">
        <f aca="false">SUM(C4:C7)</f>
        <v>936.25</v>
      </c>
      <c r="D8" s="23" t="n">
        <f aca="false">SUM(D4:D7)</f>
        <v>1110.2</v>
      </c>
      <c r="E8" s="23" t="n">
        <f aca="false">SUM(E4:E7)</f>
        <v>919.8</v>
      </c>
      <c r="F8" s="23" t="n">
        <f aca="false">SUM(F4:F7)</f>
        <v>1002.2</v>
      </c>
      <c r="G8" s="23" t="n">
        <f aca="false">SUM(G4:G7)</f>
        <v>811.28</v>
      </c>
      <c r="H8" s="23" t="n">
        <f aca="false">SUM(H4:H7)</f>
        <v>926.53</v>
      </c>
      <c r="I8" s="23" t="n">
        <f aca="false">SUM(I5:I7)</f>
        <v>0</v>
      </c>
      <c r="J8" s="23" t="n">
        <f aca="false">SUM(J4:J7)</f>
        <v>889.43</v>
      </c>
      <c r="K8" s="23" t="n">
        <f aca="false">SUM(K4:K7)</f>
        <v>850.5</v>
      </c>
      <c r="L8" s="23" t="n">
        <f aca="false">SUM(L4:L7)</f>
        <v>416.88</v>
      </c>
      <c r="M8" s="23" t="n">
        <f aca="false">SUM(M4:M7)</f>
        <v>1501.92</v>
      </c>
      <c r="N8" s="23" t="n">
        <f aca="false">SUM(N4:N7)</f>
        <v>825</v>
      </c>
      <c r="O8" s="23" t="n">
        <f aca="false">SUM(O4:O7)</f>
        <v>1153.1</v>
      </c>
      <c r="P8" s="23" t="n">
        <f aca="false">SUM(P5:P7)</f>
        <v>0</v>
      </c>
      <c r="Q8" s="23" t="n">
        <f aca="false">SUM(Q4:Q7)</f>
        <v>1227.55</v>
      </c>
      <c r="R8" s="23" t="n">
        <f aca="false">SUM(R4:R7)</f>
        <v>729.17</v>
      </c>
      <c r="S8" s="23" t="n">
        <f aca="false">SUM(S4:S7)</f>
        <v>1631.5</v>
      </c>
      <c r="T8" s="23" t="n">
        <f aca="false">SUM(T4:T7)</f>
        <v>1223.4</v>
      </c>
      <c r="U8" s="23" t="n">
        <f aca="false">SUM(U4:U7)</f>
        <v>1016.15</v>
      </c>
      <c r="V8" s="23" t="n">
        <f aca="false">SUM(V4:V7)</f>
        <v>1184.85</v>
      </c>
      <c r="W8" s="23" t="n">
        <f aca="false">SUM(W5:W7)</f>
        <v>104.5</v>
      </c>
      <c r="X8" s="23" t="n">
        <f aca="false">SUM(X4:X7)</f>
        <v>1527.72</v>
      </c>
      <c r="Y8" s="23" t="n">
        <f aca="false">SUM(Y4:Y7)</f>
        <v>1545.5</v>
      </c>
      <c r="Z8" s="23" t="n">
        <f aca="false">SUM(Z4:Z7)</f>
        <v>825.2</v>
      </c>
      <c r="AA8" s="23" t="n">
        <f aca="false">SUM(AA5:AA7)</f>
        <v>0</v>
      </c>
      <c r="AB8" s="23" t="n">
        <f aca="false">SUM(AB4:AB7)</f>
        <v>1668.5</v>
      </c>
      <c r="AC8" s="23" t="n">
        <f aca="false">SUM(AC4:AC7)</f>
        <v>1086.97</v>
      </c>
      <c r="AD8" s="23" t="n">
        <f aca="false">SUM(AD5:AD7)</f>
        <v>0</v>
      </c>
      <c r="AE8" s="23" t="n">
        <f aca="false">SUM(AE4:AE7)</f>
        <v>1200</v>
      </c>
      <c r="AF8" s="24" t="n">
        <f aca="false">SUM(AF4:AF7)</f>
        <v>1863.98</v>
      </c>
      <c r="AG8" s="23" t="n">
        <f aca="false">SUM(AG4:AG7)</f>
        <v>843.8</v>
      </c>
      <c r="AH8" s="25" t="n">
        <f aca="false">SUM(AH4:AH7)</f>
        <v>29021.88</v>
      </c>
      <c r="AI8" s="26" t="n">
        <f aca="false">SUM(AH8/26)</f>
        <v>1116.22615384615</v>
      </c>
    </row>
    <row r="9" customFormat="false" ht="12.75" hidden="false" customHeight="true" outlineLevel="0" collapsed="false">
      <c r="C9" s="27"/>
      <c r="D9" s="27"/>
      <c r="E9" s="27"/>
      <c r="F9" s="27"/>
      <c r="G9" s="27"/>
      <c r="H9" s="27"/>
      <c r="I9" s="28"/>
      <c r="J9" s="27"/>
      <c r="K9" s="27"/>
      <c r="L9" s="27"/>
      <c r="M9" s="27"/>
      <c r="N9" s="27"/>
      <c r="O9" s="27"/>
      <c r="P9" s="28"/>
      <c r="Q9" s="27"/>
      <c r="R9" s="27"/>
      <c r="S9" s="27"/>
      <c r="T9" s="3"/>
      <c r="W9" s="2"/>
      <c r="Y9" s="3"/>
      <c r="AD9" s="2"/>
      <c r="AF9" s="3"/>
    </row>
    <row r="10" customFormat="false" ht="12.75" hidden="false" customHeight="true" outlineLevel="0" collapsed="false">
      <c r="C10" s="27"/>
      <c r="D10" s="27"/>
      <c r="E10" s="27"/>
      <c r="F10" s="27"/>
      <c r="G10" s="27"/>
      <c r="H10" s="27"/>
      <c r="I10" s="28"/>
      <c r="J10" s="27"/>
      <c r="K10" s="27"/>
      <c r="L10" s="27"/>
      <c r="M10" s="27"/>
      <c r="N10" s="27"/>
      <c r="O10" s="27"/>
      <c r="P10" s="28"/>
      <c r="Q10" s="27"/>
      <c r="R10" s="27"/>
      <c r="S10" s="27"/>
      <c r="T10" s="3"/>
      <c r="W10" s="2"/>
      <c r="Y10" s="3"/>
      <c r="AD10" s="2"/>
      <c r="AF10" s="3"/>
    </row>
    <row r="11" customFormat="false" ht="12.75" hidden="false" customHeight="true" outlineLevel="0" collapsed="false">
      <c r="C11" s="27"/>
      <c r="D11" s="27"/>
      <c r="E11" s="27"/>
      <c r="F11" s="27"/>
      <c r="G11" s="27"/>
      <c r="H11" s="27"/>
      <c r="I11" s="28"/>
      <c r="J11" s="27"/>
      <c r="K11" s="27"/>
      <c r="L11" s="27"/>
      <c r="M11" s="27"/>
      <c r="N11" s="27"/>
      <c r="O11" s="27"/>
      <c r="P11" s="28"/>
      <c r="Q11" s="27"/>
      <c r="R11" s="27"/>
      <c r="S11" s="27"/>
      <c r="T11" s="3" t="s">
        <v>37</v>
      </c>
      <c r="W11" s="2"/>
      <c r="Y11" s="3"/>
      <c r="AD11" s="2"/>
      <c r="AF11" s="3"/>
    </row>
    <row r="12" customFormat="false" ht="12.75" hidden="false" customHeight="true" outlineLevel="0" collapsed="false">
      <c r="C12" s="27"/>
      <c r="D12" s="27"/>
      <c r="E12" s="27"/>
      <c r="F12" s="27"/>
      <c r="G12" s="27"/>
      <c r="H12" s="27"/>
      <c r="I12" s="28"/>
      <c r="J12" s="27"/>
      <c r="K12" s="27"/>
      <c r="L12" s="27"/>
      <c r="M12" s="27"/>
      <c r="N12" s="27"/>
      <c r="O12" s="27"/>
      <c r="P12" s="28"/>
      <c r="Q12" s="27"/>
      <c r="R12" s="27"/>
      <c r="S12" s="27"/>
      <c r="T12" s="3"/>
      <c r="W12" s="2"/>
      <c r="Y12" s="3"/>
      <c r="AD12" s="2"/>
      <c r="AF12" s="3"/>
    </row>
    <row r="13" customFormat="false" ht="12.75" hidden="false" customHeight="true" outlineLevel="0" collapsed="false">
      <c r="C13" s="27"/>
      <c r="D13" s="27"/>
      <c r="E13" s="27"/>
      <c r="F13" s="27"/>
      <c r="G13" s="27"/>
      <c r="H13" s="27"/>
      <c r="I13" s="28"/>
      <c r="J13" s="27"/>
      <c r="K13" s="27"/>
      <c r="L13" s="27"/>
      <c r="M13" s="27"/>
      <c r="N13" s="27"/>
      <c r="O13" s="27"/>
      <c r="P13" s="28"/>
      <c r="Q13" s="27"/>
      <c r="R13" s="27"/>
      <c r="S13" s="27"/>
      <c r="T13" s="3"/>
      <c r="W13" s="2"/>
      <c r="Y13" s="3"/>
      <c r="AD13" s="2"/>
      <c r="AF13" s="3"/>
    </row>
    <row r="14" customFormat="false" ht="12.75" hidden="false" customHeight="true" outlineLevel="0" collapsed="false">
      <c r="C14" s="27"/>
      <c r="D14" s="27"/>
      <c r="E14" s="27"/>
      <c r="F14" s="27"/>
      <c r="G14" s="27"/>
      <c r="H14" s="27"/>
      <c r="I14" s="28"/>
      <c r="J14" s="27"/>
      <c r="K14" s="27"/>
      <c r="L14" s="27"/>
      <c r="M14" s="27"/>
      <c r="N14" s="27"/>
      <c r="O14" s="27"/>
      <c r="P14" s="28"/>
      <c r="Q14" s="27"/>
      <c r="R14" s="27"/>
      <c r="S14" s="27"/>
      <c r="T14" s="3"/>
      <c r="W14" s="2"/>
      <c r="Y14" s="3"/>
      <c r="AD14" s="2"/>
      <c r="AF14" s="3"/>
    </row>
    <row r="15" customFormat="false" ht="12.75" hidden="false" customHeight="true" outlineLevel="0" collapsed="false">
      <c r="B15" s="29" t="s">
        <v>38</v>
      </c>
      <c r="C15" s="1" t="n">
        <v>1</v>
      </c>
      <c r="D15" s="3" t="n">
        <v>2</v>
      </c>
      <c r="E15" s="1" t="n">
        <v>3</v>
      </c>
      <c r="F15" s="1" t="n">
        <v>4</v>
      </c>
      <c r="G15" s="1" t="n">
        <v>5</v>
      </c>
      <c r="H15" s="1" t="n">
        <v>6</v>
      </c>
      <c r="I15" s="2" t="n">
        <v>7</v>
      </c>
      <c r="J15" s="1" t="n">
        <v>8</v>
      </c>
      <c r="K15" s="3" t="n">
        <v>9</v>
      </c>
      <c r="L15" s="1" t="n">
        <v>10</v>
      </c>
      <c r="M15" s="1" t="n">
        <v>11</v>
      </c>
      <c r="N15" s="1" t="n">
        <v>12</v>
      </c>
      <c r="O15" s="1" t="n">
        <v>13</v>
      </c>
      <c r="P15" s="2" t="n">
        <v>14</v>
      </c>
      <c r="Q15" s="1" t="n">
        <v>15</v>
      </c>
      <c r="R15" s="3" t="n">
        <v>16</v>
      </c>
      <c r="S15" s="1" t="n">
        <v>17</v>
      </c>
      <c r="T15" s="3" t="n">
        <v>18</v>
      </c>
      <c r="U15" s="1" t="n">
        <v>19</v>
      </c>
      <c r="V15" s="1" t="n">
        <v>20</v>
      </c>
      <c r="W15" s="2" t="n">
        <v>21</v>
      </c>
      <c r="X15" s="1" t="n">
        <v>22</v>
      </c>
      <c r="Y15" s="3" t="n">
        <v>23</v>
      </c>
      <c r="Z15" s="1" t="n">
        <v>24</v>
      </c>
      <c r="AA15" s="1" t="n">
        <v>25</v>
      </c>
      <c r="AB15" s="1" t="n">
        <v>26</v>
      </c>
      <c r="AC15" s="1" t="n">
        <v>27</v>
      </c>
      <c r="AD15" s="2" t="n">
        <v>28</v>
      </c>
      <c r="AE15" s="1" t="n">
        <v>29</v>
      </c>
      <c r="AF15" s="3" t="n">
        <v>30</v>
      </c>
      <c r="AG15" s="1" t="n">
        <v>31</v>
      </c>
    </row>
    <row r="16" customFormat="false" ht="12.75" hidden="false" customHeight="true" outlineLevel="0" collapsed="false">
      <c r="B16" s="18" t="s">
        <v>39</v>
      </c>
      <c r="C16" s="14"/>
      <c r="D16" s="14"/>
      <c r="E16" s="14"/>
      <c r="F16" s="14"/>
      <c r="G16" s="14"/>
      <c r="H16" s="14"/>
      <c r="I16" s="16"/>
      <c r="J16" s="14"/>
      <c r="K16" s="14"/>
      <c r="L16" s="14"/>
      <c r="M16" s="14" t="n">
        <v>50</v>
      </c>
      <c r="N16" s="14" t="n">
        <v>100</v>
      </c>
      <c r="O16" s="14" t="n">
        <v>40</v>
      </c>
      <c r="P16" s="16"/>
      <c r="Q16" s="30" t="n">
        <v>510</v>
      </c>
      <c r="R16" s="14"/>
      <c r="S16" s="31"/>
      <c r="T16" s="32"/>
      <c r="U16" s="15"/>
      <c r="V16" s="15"/>
      <c r="W16" s="33"/>
      <c r="X16" s="15"/>
      <c r="Y16" s="15"/>
      <c r="Z16" s="15"/>
      <c r="AA16" s="15"/>
      <c r="AB16" s="15"/>
      <c r="AC16" s="15"/>
      <c r="AD16" s="33"/>
      <c r="AE16" s="15"/>
      <c r="AF16" s="14" t="n">
        <v>700</v>
      </c>
      <c r="AG16" s="34"/>
      <c r="AH16" s="14" t="n">
        <f aca="false">SUM(C16:AG16)</f>
        <v>1400</v>
      </c>
    </row>
    <row r="17" customFormat="false" ht="12.75" hidden="false" customHeight="true" outlineLevel="0" collapsed="false">
      <c r="B17" s="18" t="s">
        <v>40</v>
      </c>
      <c r="C17" s="14"/>
      <c r="D17" s="14"/>
      <c r="E17" s="14"/>
      <c r="F17" s="14"/>
      <c r="G17" s="14"/>
      <c r="H17" s="35"/>
      <c r="I17" s="16"/>
      <c r="J17" s="14" t="n">
        <v>1500</v>
      </c>
      <c r="K17" s="14"/>
      <c r="L17" s="14"/>
      <c r="M17" s="14"/>
      <c r="N17" s="14"/>
      <c r="O17" s="14"/>
      <c r="P17" s="16"/>
      <c r="Q17" s="14"/>
      <c r="R17" s="14"/>
      <c r="S17" s="14"/>
      <c r="T17" s="32"/>
      <c r="U17" s="15"/>
      <c r="V17" s="15"/>
      <c r="W17" s="33"/>
      <c r="X17" s="15"/>
      <c r="Y17" s="15"/>
      <c r="Z17" s="15"/>
      <c r="AA17" s="15"/>
      <c r="AB17" s="15"/>
      <c r="AC17" s="15"/>
      <c r="AD17" s="33"/>
      <c r="AE17" s="15"/>
      <c r="AF17" s="15"/>
      <c r="AG17" s="17"/>
      <c r="AH17" s="14" t="n">
        <f aca="false">SUM(C17:AG17)</f>
        <v>1500</v>
      </c>
    </row>
    <row r="18" customFormat="false" ht="12.75" hidden="false" customHeight="true" outlineLevel="0" collapsed="false">
      <c r="B18" s="18" t="s">
        <v>41</v>
      </c>
      <c r="C18" s="14"/>
      <c r="D18" s="14"/>
      <c r="E18" s="14"/>
      <c r="F18" s="14"/>
      <c r="G18" s="14"/>
      <c r="H18" s="14"/>
      <c r="I18" s="16"/>
      <c r="J18" s="14" t="n">
        <v>61.14</v>
      </c>
      <c r="K18" s="14"/>
      <c r="L18" s="14"/>
      <c r="M18" s="14"/>
      <c r="N18" s="14"/>
      <c r="O18" s="14"/>
      <c r="P18" s="16"/>
      <c r="Q18" s="14"/>
      <c r="R18" s="14"/>
      <c r="S18" s="14"/>
      <c r="T18" s="32"/>
      <c r="U18" s="15"/>
      <c r="V18" s="15"/>
      <c r="W18" s="33"/>
      <c r="X18" s="15"/>
      <c r="Y18" s="15"/>
      <c r="Z18" s="15"/>
      <c r="AA18" s="15"/>
      <c r="AB18" s="15"/>
      <c r="AC18" s="15"/>
      <c r="AD18" s="33"/>
      <c r="AE18" s="15"/>
      <c r="AF18" s="15"/>
      <c r="AG18" s="17"/>
      <c r="AH18" s="14" t="n">
        <f aca="false">SUM(C18:AG18)</f>
        <v>61.14</v>
      </c>
    </row>
    <row r="19" customFormat="false" ht="12.75" hidden="false" customHeight="true" outlineLevel="0" collapsed="false">
      <c r="B19" s="18" t="s">
        <v>42</v>
      </c>
      <c r="C19" s="14"/>
      <c r="D19" s="14"/>
      <c r="E19" s="14"/>
      <c r="F19" s="14"/>
      <c r="G19" s="14"/>
      <c r="H19" s="14"/>
      <c r="I19" s="16"/>
      <c r="J19" s="14"/>
      <c r="K19" s="14"/>
      <c r="L19" s="14"/>
      <c r="M19" s="14" t="n">
        <v>136.32</v>
      </c>
      <c r="N19" s="14"/>
      <c r="O19" s="14"/>
      <c r="P19" s="16"/>
      <c r="Q19" s="14"/>
      <c r="R19" s="14"/>
      <c r="S19" s="14"/>
      <c r="T19" s="32"/>
      <c r="U19" s="15"/>
      <c r="V19" s="15"/>
      <c r="W19" s="33"/>
      <c r="X19" s="15"/>
      <c r="Y19" s="15"/>
      <c r="Z19" s="15"/>
      <c r="AA19" s="15"/>
      <c r="AB19" s="15"/>
      <c r="AC19" s="15"/>
      <c r="AD19" s="33"/>
      <c r="AE19" s="15"/>
      <c r="AF19" s="15"/>
      <c r="AG19" s="17"/>
      <c r="AH19" s="14" t="n">
        <f aca="false">SUM(C19:AG19)</f>
        <v>136.32</v>
      </c>
    </row>
    <row r="20" customFormat="false" ht="12.75" hidden="false" customHeight="true" outlineLevel="0" collapsed="false">
      <c r="B20" s="18" t="s">
        <v>43</v>
      </c>
      <c r="C20" s="14"/>
      <c r="D20" s="14"/>
      <c r="E20" s="14"/>
      <c r="F20" s="14"/>
      <c r="G20" s="14"/>
      <c r="H20" s="14"/>
      <c r="I20" s="16"/>
      <c r="J20" s="14"/>
      <c r="K20" s="14"/>
      <c r="L20" s="14"/>
      <c r="M20" s="35"/>
      <c r="N20" s="14"/>
      <c r="O20" s="14"/>
      <c r="P20" s="16"/>
      <c r="Q20" s="14"/>
      <c r="R20" s="14"/>
      <c r="S20" s="14"/>
      <c r="T20" s="36" t="n">
        <v>318.51</v>
      </c>
      <c r="U20" s="37"/>
      <c r="V20" s="37"/>
      <c r="W20" s="38"/>
      <c r="X20" s="37"/>
      <c r="Y20" s="37"/>
      <c r="Z20" s="37"/>
      <c r="AA20" s="37"/>
      <c r="AB20" s="37"/>
      <c r="AC20" s="37"/>
      <c r="AD20" s="38"/>
      <c r="AE20" s="37"/>
      <c r="AF20" s="37"/>
      <c r="AG20" s="21"/>
      <c r="AH20" s="14" t="n">
        <f aca="false">SUM(C20:AG20)</f>
        <v>318.51</v>
      </c>
    </row>
    <row r="21" customFormat="false" ht="12.75" hidden="false" customHeight="true" outlineLevel="0" collapsed="false">
      <c r="B21" s="18" t="s">
        <v>44</v>
      </c>
      <c r="C21" s="14"/>
      <c r="D21" s="14" t="n">
        <v>50</v>
      </c>
      <c r="E21" s="14"/>
      <c r="F21" s="14"/>
      <c r="G21" s="14"/>
      <c r="H21" s="14"/>
      <c r="I21" s="16"/>
      <c r="J21" s="14"/>
      <c r="K21" s="14"/>
      <c r="L21" s="14"/>
      <c r="M21" s="35"/>
      <c r="N21" s="14"/>
      <c r="O21" s="14"/>
      <c r="P21" s="16"/>
      <c r="Q21" s="14"/>
      <c r="R21" s="14"/>
      <c r="S21" s="14"/>
      <c r="T21" s="39"/>
      <c r="U21" s="37"/>
      <c r="V21" s="37"/>
      <c r="W21" s="38"/>
      <c r="X21" s="37"/>
      <c r="Y21" s="37"/>
      <c r="Z21" s="37"/>
      <c r="AA21" s="37"/>
      <c r="AB21" s="37"/>
      <c r="AC21" s="37"/>
      <c r="AD21" s="38"/>
      <c r="AE21" s="37"/>
      <c r="AF21" s="37"/>
      <c r="AG21" s="21"/>
      <c r="AH21" s="14" t="n">
        <f aca="false">SUM(C21:AG21)</f>
        <v>50</v>
      </c>
    </row>
    <row r="22" customFormat="false" ht="12.75" hidden="false" customHeight="true" outlineLevel="0" collapsed="false">
      <c r="B22" s="18" t="s">
        <v>45</v>
      </c>
      <c r="C22" s="14"/>
      <c r="D22" s="14"/>
      <c r="E22" s="14"/>
      <c r="F22" s="14"/>
      <c r="G22" s="14"/>
      <c r="H22" s="14"/>
      <c r="I22" s="16"/>
      <c r="J22" s="14"/>
      <c r="K22" s="14"/>
      <c r="L22" s="14"/>
      <c r="M22" s="35"/>
      <c r="N22" s="14"/>
      <c r="O22" s="14"/>
      <c r="P22" s="16"/>
      <c r="Q22" s="14"/>
      <c r="R22" s="14"/>
      <c r="S22" s="14"/>
      <c r="T22" s="39"/>
      <c r="U22" s="37"/>
      <c r="V22" s="37"/>
      <c r="W22" s="38"/>
      <c r="X22" s="37"/>
      <c r="Y22" s="37"/>
      <c r="Z22" s="37"/>
      <c r="AA22" s="37"/>
      <c r="AB22" s="37"/>
      <c r="AC22" s="37"/>
      <c r="AD22" s="38"/>
      <c r="AE22" s="37"/>
      <c r="AF22" s="37"/>
      <c r="AG22" s="21"/>
      <c r="AH22" s="14" t="n">
        <f aca="false">SUM(C22:AG22)</f>
        <v>0</v>
      </c>
    </row>
    <row r="23" customFormat="false" ht="12.75" hidden="false" customHeight="true" outlineLevel="0" collapsed="false">
      <c r="B23" s="18" t="s">
        <v>46</v>
      </c>
      <c r="C23" s="14"/>
      <c r="D23" s="14"/>
      <c r="E23" s="14"/>
      <c r="F23" s="14"/>
      <c r="G23" s="14"/>
      <c r="H23" s="14"/>
      <c r="I23" s="16"/>
      <c r="J23" s="14" t="n">
        <v>70</v>
      </c>
      <c r="K23" s="14"/>
      <c r="L23" s="14"/>
      <c r="M23" s="35"/>
      <c r="N23" s="14"/>
      <c r="O23" s="14"/>
      <c r="P23" s="16"/>
      <c r="Q23" s="14"/>
      <c r="R23" s="14"/>
      <c r="S23" s="14"/>
      <c r="T23" s="39"/>
      <c r="U23" s="37"/>
      <c r="V23" s="37"/>
      <c r="W23" s="38"/>
      <c r="X23" s="37"/>
      <c r="Y23" s="37"/>
      <c r="Z23" s="37"/>
      <c r="AA23" s="37"/>
      <c r="AB23" s="37"/>
      <c r="AC23" s="37"/>
      <c r="AD23" s="38"/>
      <c r="AE23" s="37"/>
      <c r="AF23" s="37"/>
      <c r="AG23" s="21"/>
      <c r="AH23" s="14" t="n">
        <f aca="false">SUM(C23:AG23)</f>
        <v>70</v>
      </c>
    </row>
    <row r="24" customFormat="false" ht="12.75" hidden="false" customHeight="true" outlineLevel="0" collapsed="false">
      <c r="B24" s="18"/>
      <c r="C24" s="14"/>
      <c r="D24" s="14"/>
      <c r="E24" s="14"/>
      <c r="F24" s="14"/>
      <c r="G24" s="14"/>
      <c r="H24" s="14"/>
      <c r="I24" s="16"/>
      <c r="J24" s="14"/>
      <c r="K24" s="14"/>
      <c r="L24" s="14"/>
      <c r="M24" s="35"/>
      <c r="N24" s="14"/>
      <c r="O24" s="14"/>
      <c r="P24" s="16"/>
      <c r="Q24" s="14"/>
      <c r="R24" s="14"/>
      <c r="S24" s="14"/>
      <c r="T24" s="39"/>
      <c r="U24" s="37"/>
      <c r="V24" s="37"/>
      <c r="W24" s="38"/>
      <c r="X24" s="37"/>
      <c r="Y24" s="37"/>
      <c r="Z24" s="37"/>
      <c r="AA24" s="37"/>
      <c r="AB24" s="37"/>
      <c r="AC24" s="37"/>
      <c r="AD24" s="38"/>
      <c r="AE24" s="37"/>
      <c r="AF24" s="37"/>
      <c r="AG24" s="21"/>
      <c r="AH24" s="14" t="n">
        <f aca="false">SUM(C24:AG24)</f>
        <v>0</v>
      </c>
    </row>
    <row r="25" customFormat="false" ht="12.75" hidden="false" customHeight="true" outlineLevel="0" collapsed="false">
      <c r="B25" s="18"/>
      <c r="C25" s="14"/>
      <c r="D25" s="14"/>
      <c r="E25" s="14"/>
      <c r="F25" s="14"/>
      <c r="G25" s="14"/>
      <c r="H25" s="14"/>
      <c r="I25" s="16"/>
      <c r="J25" s="14"/>
      <c r="K25" s="14"/>
      <c r="L25" s="14"/>
      <c r="M25" s="35"/>
      <c r="N25" s="14"/>
      <c r="O25" s="14"/>
      <c r="P25" s="16"/>
      <c r="Q25" s="14"/>
      <c r="R25" s="14"/>
      <c r="S25" s="14"/>
      <c r="T25" s="39"/>
      <c r="U25" s="37"/>
      <c r="V25" s="37"/>
      <c r="W25" s="38"/>
      <c r="X25" s="37"/>
      <c r="Y25" s="37"/>
      <c r="Z25" s="37"/>
      <c r="AA25" s="37"/>
      <c r="AB25" s="37"/>
      <c r="AC25" s="37"/>
      <c r="AD25" s="38"/>
      <c r="AE25" s="37"/>
      <c r="AF25" s="37"/>
      <c r="AG25" s="21"/>
      <c r="AH25" s="14" t="n">
        <f aca="false">SUM(C25:AG25)</f>
        <v>0</v>
      </c>
    </row>
    <row r="26" customFormat="false" ht="12.75" hidden="false" customHeight="true" outlineLevel="0" collapsed="false">
      <c r="B26" s="18" t="s">
        <v>47</v>
      </c>
      <c r="C26" s="14"/>
      <c r="D26" s="14"/>
      <c r="E26" s="14"/>
      <c r="F26" s="14"/>
      <c r="G26" s="14"/>
      <c r="H26" s="14"/>
      <c r="I26" s="16"/>
      <c r="J26" s="14" t="n">
        <v>10</v>
      </c>
      <c r="K26" s="14"/>
      <c r="L26" s="14"/>
      <c r="M26" s="14"/>
      <c r="N26" s="14"/>
      <c r="O26" s="14"/>
      <c r="P26" s="16"/>
      <c r="Q26" s="14"/>
      <c r="R26" s="14"/>
      <c r="S26" s="14"/>
      <c r="T26" s="39"/>
      <c r="U26" s="37" t="n">
        <v>10</v>
      </c>
      <c r="V26" s="37"/>
      <c r="W26" s="38"/>
      <c r="X26" s="37"/>
      <c r="Y26" s="37"/>
      <c r="Z26" s="37"/>
      <c r="AA26" s="37"/>
      <c r="AB26" s="37"/>
      <c r="AC26" s="37"/>
      <c r="AD26" s="38"/>
      <c r="AE26" s="37"/>
      <c r="AF26" s="37"/>
      <c r="AG26" s="21"/>
      <c r="AH26" s="14" t="n">
        <f aca="false">SUM(C26:AG26)</f>
        <v>20</v>
      </c>
    </row>
    <row r="27" customFormat="false" ht="12.75" hidden="false" customHeight="true" outlineLevel="0" collapsed="false">
      <c r="B27" s="40" t="s">
        <v>36</v>
      </c>
      <c r="C27" s="23" t="n">
        <f aca="false">SUM(C16:C26)</f>
        <v>0</v>
      </c>
      <c r="D27" s="23" t="n">
        <f aca="false">SUM(D16:D26)</f>
        <v>50</v>
      </c>
      <c r="E27" s="23" t="n">
        <f aca="false">SUM(E16:E26)</f>
        <v>0</v>
      </c>
      <c r="F27" s="23" t="n">
        <f aca="false">SUM(F16:F26)</f>
        <v>0</v>
      </c>
      <c r="G27" s="23" t="n">
        <f aca="false">SUM(G16:G26)</f>
        <v>0</v>
      </c>
      <c r="H27" s="23" t="n">
        <f aca="false">SUM(H16:H26)</f>
        <v>0</v>
      </c>
      <c r="I27" s="23" t="n">
        <f aca="false">SUM(I16:I26)</f>
        <v>0</v>
      </c>
      <c r="J27" s="23" t="n">
        <f aca="false">SUM(J16:J26)</f>
        <v>1641.14</v>
      </c>
      <c r="K27" s="23" t="n">
        <f aca="false">SUM(K16:K26)</f>
        <v>0</v>
      </c>
      <c r="L27" s="23" t="n">
        <f aca="false">SUM(L16:L26)</f>
        <v>0</v>
      </c>
      <c r="M27" s="23" t="n">
        <f aca="false">SUM(M16:M26)</f>
        <v>186.32</v>
      </c>
      <c r="N27" s="23" t="n">
        <f aca="false">SUM(N16:N26)</f>
        <v>100</v>
      </c>
      <c r="O27" s="23" t="n">
        <f aca="false">SUM(O16:O26)</f>
        <v>40</v>
      </c>
      <c r="P27" s="23" t="n">
        <f aca="false">SUM(P16:P26)</f>
        <v>0</v>
      </c>
      <c r="Q27" s="23" t="n">
        <f aca="false">SUM(Q16:Q26)</f>
        <v>510</v>
      </c>
      <c r="R27" s="23" t="n">
        <f aca="false">SUM(R16:R26)</f>
        <v>0</v>
      </c>
      <c r="S27" s="23" t="n">
        <f aca="false">SUM(S16:S26)</f>
        <v>0</v>
      </c>
      <c r="T27" s="14" t="n">
        <f aca="false">SUM(T16:T26)</f>
        <v>318.51</v>
      </c>
      <c r="U27" s="23" t="n">
        <f aca="false">SUM(U16:U26)</f>
        <v>10</v>
      </c>
      <c r="V27" s="23" t="n">
        <f aca="false">SUM(V16:V26)</f>
        <v>0</v>
      </c>
      <c r="W27" s="23" t="n">
        <f aca="false">SUM(W16:W26)</f>
        <v>0</v>
      </c>
      <c r="X27" s="23" t="n">
        <f aca="false">SUM(X16:X26)</f>
        <v>0</v>
      </c>
      <c r="Y27" s="23" t="n">
        <f aca="false">SUM(Y16:Y26)</f>
        <v>0</v>
      </c>
      <c r="Z27" s="23" t="n">
        <f aca="false">SUM(Z16:Z26)</f>
        <v>0</v>
      </c>
      <c r="AA27" s="23" t="n">
        <f aca="false">SUM(AA16:AA26)</f>
        <v>0</v>
      </c>
      <c r="AB27" s="23" t="n">
        <f aca="false">SUM(AB16:AB26)</f>
        <v>0</v>
      </c>
      <c r="AC27" s="23" t="n">
        <f aca="false">SUM(AC16:AC26)</f>
        <v>0</v>
      </c>
      <c r="AD27" s="23" t="n">
        <f aca="false">SUM(AD16:AD26)</f>
        <v>0</v>
      </c>
      <c r="AE27" s="23" t="n">
        <f aca="false">SUM(AE16:AE26)</f>
        <v>0</v>
      </c>
      <c r="AF27" s="23" t="n">
        <f aca="false">SUM(AF16:AF26)</f>
        <v>700</v>
      </c>
      <c r="AG27" s="23" t="n">
        <f aca="false">SUM(AG16:AG26)</f>
        <v>0</v>
      </c>
      <c r="AH27" s="23" t="n">
        <f aca="false">SUM(C27:AG27)</f>
        <v>3555.97</v>
      </c>
    </row>
    <row r="28" customFormat="false" ht="12.75" hidden="false" customHeight="true" outlineLevel="0" collapsed="false">
      <c r="B28" s="3"/>
      <c r="C28" s="27"/>
      <c r="D28" s="27"/>
      <c r="E28" s="27"/>
      <c r="F28" s="27"/>
      <c r="G28" s="27"/>
      <c r="H28" s="27"/>
      <c r="I28" s="28"/>
      <c r="J28" s="27"/>
      <c r="K28" s="27"/>
      <c r="L28" s="27"/>
      <c r="M28" s="27"/>
      <c r="N28" s="27"/>
      <c r="O28" s="27"/>
      <c r="P28" s="28"/>
      <c r="Q28" s="27"/>
      <c r="R28" s="27"/>
      <c r="S28" s="27"/>
      <c r="T28" s="3"/>
      <c r="W28" s="2"/>
      <c r="Y28" s="3"/>
      <c r="AD28" s="2"/>
      <c r="AF28" s="3"/>
    </row>
    <row r="29" customFormat="false" ht="12.75" hidden="false" customHeight="true" outlineLevel="0" collapsed="false">
      <c r="B29" s="3"/>
      <c r="C29" s="27"/>
      <c r="D29" s="27"/>
      <c r="E29" s="27"/>
      <c r="F29" s="27"/>
      <c r="G29" s="27"/>
      <c r="H29" s="27"/>
      <c r="I29" s="28"/>
      <c r="J29" s="27"/>
      <c r="K29" s="27"/>
      <c r="L29" s="27"/>
      <c r="M29" s="27"/>
      <c r="N29" s="27"/>
      <c r="O29" s="27"/>
      <c r="P29" s="28"/>
      <c r="Q29" s="27"/>
      <c r="R29" s="27"/>
      <c r="S29" s="27"/>
      <c r="T29" s="3"/>
      <c r="W29" s="2"/>
      <c r="Y29" s="3"/>
      <c r="AD29" s="2"/>
      <c r="AF29" s="3"/>
    </row>
    <row r="30" customFormat="false" ht="12.75" hidden="false" customHeight="true" outlineLevel="0" collapsed="false">
      <c r="B30" s="3"/>
      <c r="C30" s="27"/>
      <c r="D30" s="27"/>
      <c r="E30" s="27"/>
      <c r="F30" s="27"/>
      <c r="G30" s="27"/>
      <c r="H30" s="27"/>
      <c r="I30" s="28"/>
      <c r="J30" s="27"/>
      <c r="K30" s="27"/>
      <c r="L30" s="27"/>
      <c r="M30" s="27"/>
      <c r="N30" s="27"/>
      <c r="O30" s="27"/>
      <c r="P30" s="28"/>
      <c r="Q30" s="27"/>
      <c r="R30" s="27"/>
      <c r="S30" s="27"/>
      <c r="T30" s="3"/>
      <c r="W30" s="2"/>
      <c r="Y30" s="3"/>
      <c r="AD30" s="2"/>
      <c r="AF30" s="3"/>
    </row>
    <row r="31" customFormat="false" ht="12.75" hidden="false" customHeight="true" outlineLevel="0" collapsed="false">
      <c r="B31" s="29" t="s">
        <v>48</v>
      </c>
      <c r="C31" s="1" t="n">
        <v>1</v>
      </c>
      <c r="D31" s="3" t="n">
        <v>2</v>
      </c>
      <c r="E31" s="1" t="n">
        <v>3</v>
      </c>
      <c r="F31" s="1" t="n">
        <v>4</v>
      </c>
      <c r="G31" s="1" t="n">
        <v>5</v>
      </c>
      <c r="H31" s="1" t="n">
        <v>6</v>
      </c>
      <c r="I31" s="2" t="n">
        <v>7</v>
      </c>
      <c r="J31" s="1" t="n">
        <v>8</v>
      </c>
      <c r="K31" s="3" t="n">
        <v>9</v>
      </c>
      <c r="L31" s="1" t="n">
        <v>10</v>
      </c>
      <c r="M31" s="1" t="n">
        <v>11</v>
      </c>
      <c r="N31" s="1" t="n">
        <v>12</v>
      </c>
      <c r="O31" s="1" t="n">
        <v>13</v>
      </c>
      <c r="P31" s="2" t="n">
        <v>14</v>
      </c>
      <c r="Q31" s="1" t="n">
        <v>15</v>
      </c>
      <c r="R31" s="3" t="n">
        <v>16</v>
      </c>
      <c r="S31" s="1" t="n">
        <v>17</v>
      </c>
      <c r="T31" s="3" t="n">
        <v>18</v>
      </c>
      <c r="U31" s="1" t="n">
        <v>19</v>
      </c>
      <c r="V31" s="1" t="n">
        <v>20</v>
      </c>
      <c r="W31" s="2" t="n">
        <v>21</v>
      </c>
      <c r="X31" s="1" t="n">
        <v>22</v>
      </c>
      <c r="Y31" s="3" t="n">
        <v>23</v>
      </c>
      <c r="Z31" s="1" t="n">
        <v>24</v>
      </c>
      <c r="AA31" s="1" t="n">
        <v>25</v>
      </c>
      <c r="AB31" s="1" t="n">
        <v>26</v>
      </c>
      <c r="AC31" s="1" t="n">
        <v>27</v>
      </c>
      <c r="AD31" s="2" t="n">
        <v>28</v>
      </c>
      <c r="AE31" s="1" t="n">
        <v>29</v>
      </c>
      <c r="AF31" s="3" t="n">
        <v>30</v>
      </c>
      <c r="AG31" s="1" t="n">
        <v>31</v>
      </c>
    </row>
    <row r="32" customFormat="false" ht="12.75" hidden="false" customHeight="true" outlineLevel="0" collapsed="false">
      <c r="B32" s="18" t="s">
        <v>49</v>
      </c>
      <c r="C32" s="14"/>
      <c r="D32" s="14"/>
      <c r="E32" s="14"/>
      <c r="F32" s="14"/>
      <c r="G32" s="14"/>
      <c r="H32" s="14"/>
      <c r="I32" s="16"/>
      <c r="J32" s="14"/>
      <c r="K32" s="14"/>
      <c r="L32" s="14"/>
      <c r="M32" s="14" t="n">
        <v>80.5</v>
      </c>
      <c r="N32" s="14"/>
      <c r="O32" s="14"/>
      <c r="P32" s="16"/>
      <c r="Q32" s="14"/>
      <c r="R32" s="14"/>
      <c r="S32" s="14"/>
      <c r="T32" s="14"/>
      <c r="U32" s="14"/>
      <c r="V32" s="14"/>
      <c r="W32" s="16"/>
      <c r="X32" s="14"/>
      <c r="Y32" s="14"/>
      <c r="Z32" s="14"/>
      <c r="AA32" s="14"/>
      <c r="AB32" s="14"/>
      <c r="AC32" s="14"/>
      <c r="AD32" s="16"/>
      <c r="AE32" s="14"/>
      <c r="AF32" s="14"/>
      <c r="AG32" s="14"/>
      <c r="AH32" s="14" t="n">
        <f aca="false">SUM(C32:AG32)</f>
        <v>80.5</v>
      </c>
    </row>
    <row r="33" customFormat="false" ht="12.75" hidden="false" customHeight="true" outlineLevel="0" collapsed="false">
      <c r="B33" s="18" t="s">
        <v>50</v>
      </c>
      <c r="C33" s="14"/>
      <c r="D33" s="14"/>
      <c r="E33" s="14"/>
      <c r="F33" s="14"/>
      <c r="G33" s="14"/>
      <c r="H33" s="14"/>
      <c r="I33" s="16"/>
      <c r="J33" s="14"/>
      <c r="K33" s="14"/>
      <c r="L33" s="14"/>
      <c r="M33" s="14"/>
      <c r="N33" s="14"/>
      <c r="O33" s="14"/>
      <c r="P33" s="16"/>
      <c r="Q33" s="14"/>
      <c r="R33" s="14"/>
      <c r="S33" s="14"/>
      <c r="T33" s="14"/>
      <c r="U33" s="14"/>
      <c r="V33" s="14"/>
      <c r="W33" s="16"/>
      <c r="X33" s="14"/>
      <c r="Y33" s="14"/>
      <c r="Z33" s="14"/>
      <c r="AA33" s="14"/>
      <c r="AB33" s="14"/>
      <c r="AC33" s="14"/>
      <c r="AD33" s="16"/>
      <c r="AE33" s="14"/>
      <c r="AF33" s="14"/>
      <c r="AG33" s="14"/>
      <c r="AH33" s="14" t="n">
        <f aca="false">SUM(C33:AG33)</f>
        <v>0</v>
      </c>
    </row>
    <row r="34" customFormat="false" ht="12.75" hidden="false" customHeight="true" outlineLevel="0" collapsed="false">
      <c r="B34" s="18" t="s">
        <v>51</v>
      </c>
      <c r="C34" s="14"/>
      <c r="D34" s="14"/>
      <c r="E34" s="14"/>
      <c r="F34" s="14"/>
      <c r="G34" s="14"/>
      <c r="H34" s="14"/>
      <c r="I34" s="16"/>
      <c r="J34" s="14"/>
      <c r="K34" s="14"/>
      <c r="L34" s="14"/>
      <c r="M34" s="14"/>
      <c r="N34" s="14"/>
      <c r="O34" s="14"/>
      <c r="P34" s="16"/>
      <c r="Q34" s="14"/>
      <c r="R34" s="14"/>
      <c r="S34" s="14"/>
      <c r="T34" s="14"/>
      <c r="U34" s="14"/>
      <c r="V34" s="14"/>
      <c r="W34" s="16"/>
      <c r="X34" s="14"/>
      <c r="Y34" s="14"/>
      <c r="Z34" s="14"/>
      <c r="AA34" s="14"/>
      <c r="AB34" s="14"/>
      <c r="AC34" s="14"/>
      <c r="AD34" s="16"/>
      <c r="AE34" s="14"/>
      <c r="AF34" s="14"/>
      <c r="AG34" s="14"/>
      <c r="AH34" s="14" t="n">
        <f aca="false">SUM(C34:AG34)</f>
        <v>0</v>
      </c>
    </row>
    <row r="35" customFormat="false" ht="12.75" hidden="false" customHeight="true" outlineLevel="0" collapsed="false">
      <c r="B35" s="18" t="s">
        <v>52</v>
      </c>
      <c r="C35" s="14"/>
      <c r="D35" s="14"/>
      <c r="E35" s="14"/>
      <c r="F35" s="14"/>
      <c r="G35" s="14"/>
      <c r="H35" s="14"/>
      <c r="I35" s="16"/>
      <c r="J35" s="14"/>
      <c r="K35" s="14"/>
      <c r="L35" s="14"/>
      <c r="M35" s="14"/>
      <c r="N35" s="14"/>
      <c r="O35" s="14"/>
      <c r="P35" s="16"/>
      <c r="Q35" s="14"/>
      <c r="R35" s="14"/>
      <c r="S35" s="14"/>
      <c r="T35" s="14"/>
      <c r="U35" s="14"/>
      <c r="V35" s="14"/>
      <c r="W35" s="16"/>
      <c r="X35" s="14"/>
      <c r="Y35" s="14"/>
      <c r="Z35" s="14"/>
      <c r="AA35" s="14"/>
      <c r="AB35" s="14"/>
      <c r="AC35" s="14"/>
      <c r="AD35" s="16"/>
      <c r="AE35" s="14"/>
      <c r="AF35" s="14"/>
      <c r="AG35" s="14"/>
      <c r="AH35" s="14" t="n">
        <f aca="false">SUM(C35:AG35)</f>
        <v>0</v>
      </c>
    </row>
    <row r="36" customFormat="false" ht="12.75" hidden="false" customHeight="true" outlineLevel="0" collapsed="false">
      <c r="B36" s="18" t="s">
        <v>53</v>
      </c>
      <c r="C36" s="14"/>
      <c r="D36" s="14"/>
      <c r="E36" s="14" t="n">
        <v>280</v>
      </c>
      <c r="F36" s="14"/>
      <c r="G36" s="14"/>
      <c r="H36" s="14"/>
      <c r="I36" s="16"/>
      <c r="J36" s="14"/>
      <c r="K36" s="14"/>
      <c r="L36" s="14"/>
      <c r="M36" s="14"/>
      <c r="N36" s="14"/>
      <c r="O36" s="14"/>
      <c r="P36" s="16"/>
      <c r="Q36" s="14"/>
      <c r="R36" s="14"/>
      <c r="S36" s="14"/>
      <c r="T36" s="14"/>
      <c r="U36" s="14"/>
      <c r="V36" s="14"/>
      <c r="W36" s="16"/>
      <c r="X36" s="14"/>
      <c r="Y36" s="14"/>
      <c r="Z36" s="14"/>
      <c r="AA36" s="14"/>
      <c r="AB36" s="14"/>
      <c r="AC36" s="14"/>
      <c r="AD36" s="16"/>
      <c r="AE36" s="14"/>
      <c r="AF36" s="14"/>
      <c r="AG36" s="14"/>
      <c r="AH36" s="14" t="n">
        <f aca="false">SUM(C36:AG36)</f>
        <v>280</v>
      </c>
    </row>
    <row r="37" customFormat="false" ht="12.75" hidden="false" customHeight="true" outlineLevel="0" collapsed="false">
      <c r="B37" s="18" t="s">
        <v>54</v>
      </c>
      <c r="C37" s="14"/>
      <c r="D37" s="14"/>
      <c r="E37" s="14"/>
      <c r="F37" s="14"/>
      <c r="G37" s="14"/>
      <c r="H37" s="14"/>
      <c r="I37" s="16"/>
      <c r="J37" s="14"/>
      <c r="K37" s="14"/>
      <c r="L37" s="14" t="n">
        <v>60</v>
      </c>
      <c r="M37" s="14"/>
      <c r="N37" s="14"/>
      <c r="O37" s="14"/>
      <c r="P37" s="16"/>
      <c r="Q37" s="14"/>
      <c r="R37" s="14"/>
      <c r="S37" s="14"/>
      <c r="T37" s="14"/>
      <c r="U37" s="14"/>
      <c r="V37" s="14"/>
      <c r="W37" s="16"/>
      <c r="X37" s="14"/>
      <c r="Y37" s="14"/>
      <c r="Z37" s="14"/>
      <c r="AA37" s="14"/>
      <c r="AB37" s="14"/>
      <c r="AC37" s="14"/>
      <c r="AD37" s="16"/>
      <c r="AE37" s="14"/>
      <c r="AF37" s="14"/>
      <c r="AG37" s="14"/>
      <c r="AH37" s="14"/>
    </row>
    <row r="38" customFormat="false" ht="12.75" hidden="false" customHeight="true" outlineLevel="0" collapsed="false">
      <c r="B38" s="18" t="s">
        <v>55</v>
      </c>
      <c r="C38" s="14"/>
      <c r="D38" s="14"/>
      <c r="E38" s="14"/>
      <c r="F38" s="14"/>
      <c r="G38" s="14"/>
      <c r="H38" s="14"/>
      <c r="I38" s="16"/>
      <c r="J38" s="14"/>
      <c r="K38" s="14"/>
      <c r="L38" s="14" t="n">
        <v>24</v>
      </c>
      <c r="M38" s="14" t="n">
        <v>22</v>
      </c>
      <c r="N38" s="14"/>
      <c r="O38" s="14"/>
      <c r="P38" s="16"/>
      <c r="Q38" s="14"/>
      <c r="R38" s="14"/>
      <c r="S38" s="14" t="n">
        <v>17</v>
      </c>
      <c r="T38" s="14" t="n">
        <v>17</v>
      </c>
      <c r="U38" s="14" t="n">
        <v>17</v>
      </c>
      <c r="V38" s="14"/>
      <c r="W38" s="16"/>
      <c r="X38" s="14"/>
      <c r="Y38" s="14"/>
      <c r="Z38" s="14"/>
      <c r="AA38" s="14"/>
      <c r="AB38" s="14"/>
      <c r="AC38" s="14"/>
      <c r="AD38" s="16"/>
      <c r="AE38" s="14"/>
      <c r="AF38" s="14"/>
      <c r="AG38" s="14"/>
      <c r="AH38" s="14"/>
    </row>
    <row r="39" customFormat="false" ht="12.75" hidden="false" customHeight="true" outlineLevel="0" collapsed="false">
      <c r="B39" s="41" t="s">
        <v>56</v>
      </c>
      <c r="C39" s="14"/>
      <c r="D39" s="14"/>
      <c r="E39" s="14"/>
      <c r="F39" s="14"/>
      <c r="G39" s="14" t="n">
        <v>550</v>
      </c>
      <c r="H39" s="14"/>
      <c r="I39" s="16"/>
      <c r="J39" s="14"/>
      <c r="K39" s="14"/>
      <c r="L39" s="14"/>
      <c r="M39" s="14"/>
      <c r="N39" s="14"/>
      <c r="O39" s="14"/>
      <c r="P39" s="16"/>
      <c r="Q39" s="14"/>
      <c r="R39" s="14"/>
      <c r="S39" s="14"/>
      <c r="T39" s="14"/>
      <c r="U39" s="14" t="n">
        <v>1100</v>
      </c>
      <c r="V39" s="14"/>
      <c r="W39" s="16"/>
      <c r="X39" s="14"/>
      <c r="Y39" s="14"/>
      <c r="Z39" s="14"/>
      <c r="AA39" s="14"/>
      <c r="AB39" s="14"/>
      <c r="AC39" s="14"/>
      <c r="AD39" s="16"/>
      <c r="AE39" s="14"/>
      <c r="AF39" s="14"/>
      <c r="AG39" s="14"/>
      <c r="AH39" s="14" t="n">
        <f aca="false">SUM(C39:AG39)</f>
        <v>1650</v>
      </c>
    </row>
    <row r="40" customFormat="false" ht="12.75" hidden="false" customHeight="true" outlineLevel="0" collapsed="false">
      <c r="B40" s="40" t="s">
        <v>36</v>
      </c>
      <c r="C40" s="42" t="n">
        <f aca="false">SUM(C32:C39)</f>
        <v>0</v>
      </c>
      <c r="D40" s="42" t="n">
        <f aca="false">SUM(D32:D39)</f>
        <v>0</v>
      </c>
      <c r="E40" s="42" t="n">
        <f aca="false">SUM(E32:E39)</f>
        <v>280</v>
      </c>
      <c r="F40" s="42" t="n">
        <f aca="false">SUM(F32:F39)</f>
        <v>0</v>
      </c>
      <c r="G40" s="42" t="n">
        <f aca="false">SUM(G32:G39)</f>
        <v>550</v>
      </c>
      <c r="H40" s="42" t="n">
        <f aca="false">SUM(H32:H39)</f>
        <v>0</v>
      </c>
      <c r="I40" s="43" t="n">
        <f aca="false">SUM(I32:I39)</f>
        <v>0</v>
      </c>
      <c r="J40" s="42" t="n">
        <f aca="false">SUM(J32:J39)</f>
        <v>0</v>
      </c>
      <c r="K40" s="42" t="n">
        <f aca="false">SUM(K32:K39)</f>
        <v>0</v>
      </c>
      <c r="L40" s="42" t="n">
        <f aca="false">SUM(L32:L39)</f>
        <v>84</v>
      </c>
      <c r="M40" s="42" t="n">
        <f aca="false">SUM(M32:M39)</f>
        <v>102.5</v>
      </c>
      <c r="N40" s="42" t="n">
        <f aca="false">SUM(N32:N39)</f>
        <v>0</v>
      </c>
      <c r="O40" s="42" t="n">
        <f aca="false">SUM(O32:O39)</f>
        <v>0</v>
      </c>
      <c r="P40" s="42" t="n">
        <f aca="false">SUM(P32:P39)</f>
        <v>0</v>
      </c>
      <c r="Q40" s="42" t="n">
        <f aca="false">SUM(Q32:Q39)</f>
        <v>0</v>
      </c>
      <c r="R40" s="42" t="n">
        <f aca="false">SUM(R32:R39)</f>
        <v>0</v>
      </c>
      <c r="S40" s="42" t="n">
        <f aca="false">SUM(S32:S39)</f>
        <v>17</v>
      </c>
      <c r="T40" s="42" t="n">
        <f aca="false">SUM(T32:T39)</f>
        <v>17</v>
      </c>
      <c r="U40" s="42" t="n">
        <f aca="false">SUM(U32:U39)</f>
        <v>1117</v>
      </c>
      <c r="V40" s="42" t="n">
        <f aca="false">SUM(V32:V39)</f>
        <v>0</v>
      </c>
      <c r="W40" s="42" t="n">
        <f aca="false">SUM(W32:W39)</f>
        <v>0</v>
      </c>
      <c r="X40" s="42" t="n">
        <f aca="false">SUM(X32:X39)</f>
        <v>0</v>
      </c>
      <c r="Y40" s="42" t="n">
        <f aca="false">SUM(Y32:Y39)</f>
        <v>0</v>
      </c>
      <c r="Z40" s="42" t="n">
        <f aca="false">SUM(Z32:Z39)</f>
        <v>0</v>
      </c>
      <c r="AA40" s="42" t="n">
        <f aca="false">SUM(AA32:AA39)</f>
        <v>0</v>
      </c>
      <c r="AB40" s="42" t="n">
        <f aca="false">SUM(AB32:AB39)</f>
        <v>0</v>
      </c>
      <c r="AC40" s="42" t="n">
        <f aca="false">SUM(AC32:AC39)</f>
        <v>0</v>
      </c>
      <c r="AD40" s="42" t="n">
        <f aca="false">SUM(AD32:AD39)</f>
        <v>0</v>
      </c>
      <c r="AE40" s="42" t="n">
        <f aca="false">SUM(AE32:AE39)</f>
        <v>0</v>
      </c>
      <c r="AF40" s="42" t="n">
        <f aca="false">SUM(AF32:AF39)</f>
        <v>0</v>
      </c>
      <c r="AG40" s="42" t="n">
        <f aca="false">SUM(AG32:AG39)</f>
        <v>0</v>
      </c>
      <c r="AH40" s="44" t="n">
        <f aca="false">SUM(AH32:AH39)</f>
        <v>2010.5</v>
      </c>
      <c r="AI40" s="45" t="n">
        <f aca="false">SUM(AH27+AH40)</f>
        <v>5566.47</v>
      </c>
      <c r="AJ40" s="45" t="n">
        <v>162.07</v>
      </c>
    </row>
    <row r="41" customFormat="false" ht="12.75" hidden="false" customHeight="true" outlineLevel="0" collapsed="false">
      <c r="D41" s="27"/>
      <c r="E41" s="27"/>
      <c r="F41" s="27"/>
      <c r="G41" s="27"/>
      <c r="H41" s="27"/>
      <c r="I41" s="28"/>
      <c r="J41" s="27"/>
      <c r="K41" s="27"/>
      <c r="L41" s="27"/>
      <c r="M41" s="27"/>
      <c r="N41" s="27"/>
      <c r="O41" s="27"/>
      <c r="P41" s="28"/>
      <c r="Q41" s="27"/>
      <c r="R41" s="27"/>
      <c r="S41" s="27"/>
      <c r="T41" s="27"/>
      <c r="W41" s="2"/>
      <c r="Y41" s="3"/>
      <c r="AD41" s="2"/>
      <c r="AF41" s="3"/>
    </row>
    <row r="42" customFormat="false" ht="12.75" hidden="false" customHeight="true" outlineLevel="0" collapsed="false">
      <c r="B42" s="1" t="s">
        <v>57</v>
      </c>
      <c r="C42" s="1" t="n">
        <v>1</v>
      </c>
      <c r="D42" s="3" t="n">
        <v>2</v>
      </c>
      <c r="E42" s="1" t="n">
        <v>3</v>
      </c>
      <c r="F42" s="1" t="n">
        <v>4</v>
      </c>
      <c r="G42" s="1" t="n">
        <v>5</v>
      </c>
      <c r="H42" s="1" t="n">
        <v>6</v>
      </c>
      <c r="I42" s="2" t="n">
        <v>7</v>
      </c>
      <c r="J42" s="1" t="n">
        <v>8</v>
      </c>
      <c r="K42" s="3" t="n">
        <v>9</v>
      </c>
      <c r="L42" s="1" t="n">
        <v>10</v>
      </c>
      <c r="M42" s="1" t="n">
        <v>11</v>
      </c>
      <c r="N42" s="1" t="n">
        <v>12</v>
      </c>
      <c r="O42" s="1" t="n">
        <v>13</v>
      </c>
      <c r="P42" s="2" t="n">
        <v>14</v>
      </c>
      <c r="Q42" s="1" t="n">
        <v>15</v>
      </c>
      <c r="R42" s="3" t="n">
        <v>16</v>
      </c>
      <c r="S42" s="1" t="n">
        <v>17</v>
      </c>
      <c r="T42" s="3" t="n">
        <v>18</v>
      </c>
      <c r="U42" s="1" t="n">
        <v>19</v>
      </c>
      <c r="V42" s="1" t="n">
        <v>20</v>
      </c>
      <c r="W42" s="2" t="n">
        <v>21</v>
      </c>
      <c r="X42" s="1" t="n">
        <v>22</v>
      </c>
      <c r="Y42" s="3" t="n">
        <v>23</v>
      </c>
      <c r="Z42" s="1" t="n">
        <v>24</v>
      </c>
      <c r="AA42" s="46" t="n">
        <v>25</v>
      </c>
      <c r="AB42" s="1" t="n">
        <v>26</v>
      </c>
      <c r="AC42" s="1" t="n">
        <v>27</v>
      </c>
      <c r="AD42" s="2" t="n">
        <v>28</v>
      </c>
      <c r="AE42" s="1" t="n">
        <v>29</v>
      </c>
      <c r="AF42" s="3" t="n">
        <v>30</v>
      </c>
      <c r="AG42" s="1" t="n">
        <v>31</v>
      </c>
    </row>
    <row r="43" customFormat="false" ht="12.75" hidden="false" customHeight="true" outlineLevel="0" collapsed="false">
      <c r="B43" s="32" t="s">
        <v>58</v>
      </c>
      <c r="C43" s="14"/>
      <c r="D43" s="14" t="n">
        <v>1147.61</v>
      </c>
      <c r="E43" s="14"/>
      <c r="F43" s="14"/>
      <c r="G43" s="14"/>
      <c r="H43" s="14"/>
      <c r="I43" s="16"/>
      <c r="J43" s="14"/>
      <c r="K43" s="14"/>
      <c r="L43" s="14"/>
      <c r="M43" s="14"/>
      <c r="N43" s="14"/>
      <c r="O43" s="14"/>
      <c r="P43" s="16"/>
      <c r="Q43" s="14"/>
      <c r="R43" s="30" t="n">
        <v>532.44</v>
      </c>
      <c r="S43" s="14"/>
      <c r="T43" s="14"/>
      <c r="U43" s="14"/>
      <c r="V43" s="14"/>
      <c r="W43" s="16"/>
      <c r="X43" s="14" t="n">
        <v>992.85</v>
      </c>
      <c r="Y43" s="14"/>
      <c r="Z43" s="14"/>
      <c r="AA43" s="14"/>
      <c r="AB43" s="14"/>
      <c r="AC43" s="14"/>
      <c r="AD43" s="16"/>
      <c r="AE43" s="35"/>
      <c r="AF43" s="14"/>
      <c r="AG43" s="30" t="n">
        <v>214.97</v>
      </c>
      <c r="AH43" s="47" t="n">
        <f aca="false">SUM(C43:AG43)</f>
        <v>2887.87</v>
      </c>
    </row>
    <row r="44" customFormat="false" ht="12.75" hidden="false" customHeight="true" outlineLevel="0" collapsed="false">
      <c r="B44" s="32" t="s">
        <v>59</v>
      </c>
      <c r="C44" s="14"/>
      <c r="D44" s="14"/>
      <c r="E44" s="14"/>
      <c r="F44" s="14"/>
      <c r="G44" s="14"/>
      <c r="H44" s="14"/>
      <c r="I44" s="16"/>
      <c r="J44" s="48"/>
      <c r="K44" s="14"/>
      <c r="L44" s="14"/>
      <c r="M44" s="14"/>
      <c r="N44" s="14"/>
      <c r="O44" s="14"/>
      <c r="P44" s="16"/>
      <c r="Q44" s="14"/>
      <c r="R44" s="14"/>
      <c r="S44" s="14"/>
      <c r="T44" s="14"/>
      <c r="U44" s="14"/>
      <c r="V44" s="14"/>
      <c r="W44" s="16"/>
      <c r="X44" s="14"/>
      <c r="Y44" s="14"/>
      <c r="Z44" s="14"/>
      <c r="AA44" s="14"/>
      <c r="AB44" s="14"/>
      <c r="AC44" s="14"/>
      <c r="AD44" s="16"/>
      <c r="AE44" s="14"/>
      <c r="AF44" s="14"/>
      <c r="AG44" s="14"/>
      <c r="AH44" s="47" t="n">
        <f aca="false">SUM(C44:AG44)</f>
        <v>0</v>
      </c>
    </row>
    <row r="45" customFormat="false" ht="12.75" hidden="false" customHeight="true" outlineLevel="0" collapsed="false">
      <c r="B45" s="32" t="s">
        <v>60</v>
      </c>
      <c r="C45" s="14"/>
      <c r="D45" s="14"/>
      <c r="E45" s="14"/>
      <c r="F45" s="14"/>
      <c r="G45" s="14"/>
      <c r="H45" s="14"/>
      <c r="I45" s="16"/>
      <c r="J45" s="14"/>
      <c r="K45" s="14"/>
      <c r="L45" s="14"/>
      <c r="M45" s="14"/>
      <c r="N45" s="14"/>
      <c r="O45" s="14"/>
      <c r="P45" s="16"/>
      <c r="Q45" s="14"/>
      <c r="R45" s="14"/>
      <c r="S45" s="14"/>
      <c r="T45" s="14"/>
      <c r="U45" s="14"/>
      <c r="V45" s="14"/>
      <c r="W45" s="16"/>
      <c r="X45" s="14"/>
      <c r="Y45" s="14"/>
      <c r="Z45" s="14"/>
      <c r="AA45" s="14"/>
      <c r="AB45" s="14"/>
      <c r="AC45" s="14"/>
      <c r="AD45" s="16"/>
      <c r="AE45" s="14"/>
      <c r="AF45" s="14" t="n">
        <v>575</v>
      </c>
      <c r="AG45" s="14"/>
      <c r="AH45" s="47" t="n">
        <f aca="false">SUM(C45:AG45)</f>
        <v>575</v>
      </c>
    </row>
    <row r="46" customFormat="false" ht="12.75" hidden="false" customHeight="true" outlineLevel="0" collapsed="false">
      <c r="B46" s="32" t="s">
        <v>61</v>
      </c>
      <c r="C46" s="14"/>
      <c r="D46" s="14"/>
      <c r="E46" s="14" t="n">
        <v>1040</v>
      </c>
      <c r="F46" s="14"/>
      <c r="G46" s="14"/>
      <c r="H46" s="14"/>
      <c r="I46" s="16"/>
      <c r="J46" s="14"/>
      <c r="K46" s="14" t="n">
        <v>1055.26</v>
      </c>
      <c r="L46" s="14"/>
      <c r="M46" s="14"/>
      <c r="N46" s="14"/>
      <c r="O46" s="14"/>
      <c r="P46" s="16"/>
      <c r="Q46" s="14"/>
      <c r="R46" s="14"/>
      <c r="S46" s="14"/>
      <c r="T46" s="14"/>
      <c r="U46" s="14"/>
      <c r="V46" s="14"/>
      <c r="W46" s="16"/>
      <c r="X46" s="14"/>
      <c r="Y46" s="14" t="n">
        <v>1394.6</v>
      </c>
      <c r="Z46" s="14"/>
      <c r="AA46" s="14"/>
      <c r="AB46" s="14"/>
      <c r="AC46" s="14"/>
      <c r="AD46" s="16"/>
      <c r="AE46" s="14"/>
      <c r="AF46" s="14" t="n">
        <v>1801.32</v>
      </c>
      <c r="AG46" s="14"/>
      <c r="AH46" s="47" t="n">
        <f aca="false">SUM(C46:AG46)</f>
        <v>5291.18</v>
      </c>
    </row>
    <row r="47" customFormat="false" ht="12.75" hidden="false" customHeight="true" outlineLevel="0" collapsed="false">
      <c r="A47" s="49"/>
      <c r="B47" s="50" t="s">
        <v>62</v>
      </c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2" t="n">
        <v>1836.5</v>
      </c>
      <c r="AA47" s="51"/>
      <c r="AB47" s="51"/>
      <c r="AC47" s="51"/>
      <c r="AD47" s="51"/>
      <c r="AE47" s="53"/>
      <c r="AF47" s="52" t="n">
        <v>1836.5</v>
      </c>
      <c r="AG47" s="51"/>
      <c r="AH47" s="54" t="n">
        <f aca="false">SUM(C47:AG47)</f>
        <v>3673</v>
      </c>
      <c r="AI47" s="49"/>
      <c r="AJ47" s="49"/>
      <c r="AK47" s="49"/>
      <c r="AL47" s="49"/>
      <c r="AM47" s="49"/>
      <c r="AN47" s="49"/>
      <c r="AO47" s="49"/>
      <c r="AP47" s="49"/>
      <c r="AQ47" s="49"/>
      <c r="AR47" s="49"/>
      <c r="AS47" s="49"/>
      <c r="AT47" s="49"/>
      <c r="AU47" s="49"/>
      <c r="AV47" s="49"/>
      <c r="AW47" s="49"/>
      <c r="AX47" s="49"/>
      <c r="AY47" s="49"/>
      <c r="AZ47" s="49"/>
    </row>
    <row r="48" customFormat="false" ht="12.75" hidden="false" customHeight="true" outlineLevel="0" collapsed="false">
      <c r="B48" s="32" t="s">
        <v>63</v>
      </c>
      <c r="C48" s="15"/>
      <c r="D48" s="15"/>
      <c r="E48" s="14"/>
      <c r="F48" s="14" t="s">
        <v>64</v>
      </c>
      <c r="G48" s="35"/>
      <c r="H48" s="14"/>
      <c r="I48" s="16"/>
      <c r="J48" s="14"/>
      <c r="K48" s="14" t="n">
        <v>968</v>
      </c>
      <c r="L48" s="14"/>
      <c r="M48" s="14"/>
      <c r="N48" s="14"/>
      <c r="O48" s="14"/>
      <c r="P48" s="16"/>
      <c r="Q48" s="14"/>
      <c r="R48" s="14"/>
      <c r="S48" s="14"/>
      <c r="T48" s="14"/>
      <c r="U48" s="14"/>
      <c r="V48" s="14"/>
      <c r="W48" s="16"/>
      <c r="X48" s="14"/>
      <c r="Y48" s="14"/>
      <c r="Z48" s="14"/>
      <c r="AA48" s="14"/>
      <c r="AB48" s="14"/>
      <c r="AC48" s="14"/>
      <c r="AD48" s="16"/>
      <c r="AE48" s="14"/>
      <c r="AF48" s="14"/>
      <c r="AG48" s="14"/>
      <c r="AH48" s="47" t="n">
        <f aca="false">SUM(C48:AG48)</f>
        <v>968</v>
      </c>
    </row>
    <row r="49" customFormat="false" ht="12.75" hidden="false" customHeight="true" outlineLevel="0" collapsed="false">
      <c r="B49" s="32" t="s">
        <v>65</v>
      </c>
      <c r="C49" s="14"/>
      <c r="D49" s="14"/>
      <c r="E49" s="14"/>
      <c r="F49" s="14"/>
      <c r="G49" s="14"/>
      <c r="H49" s="14"/>
      <c r="I49" s="16"/>
      <c r="J49" s="14"/>
      <c r="K49" s="14"/>
      <c r="L49" s="14"/>
      <c r="M49" s="14" t="n">
        <v>1133</v>
      </c>
      <c r="N49" s="14"/>
      <c r="O49" s="14"/>
      <c r="P49" s="16"/>
      <c r="Q49" s="14"/>
      <c r="R49" s="14"/>
      <c r="S49" s="14"/>
      <c r="T49" s="14"/>
      <c r="U49" s="14"/>
      <c r="V49" s="14"/>
      <c r="W49" s="16"/>
      <c r="X49" s="14"/>
      <c r="Y49" s="14"/>
      <c r="Z49" s="14"/>
      <c r="AA49" s="14"/>
      <c r="AB49" s="14"/>
      <c r="AC49" s="14"/>
      <c r="AD49" s="16"/>
      <c r="AE49" s="14"/>
      <c r="AF49" s="14"/>
      <c r="AG49" s="14"/>
      <c r="AH49" s="47" t="n">
        <f aca="false">SUM(C49:AG49)</f>
        <v>1133</v>
      </c>
    </row>
    <row r="50" customFormat="false" ht="12.75" hidden="false" customHeight="true" outlineLevel="0" collapsed="false">
      <c r="B50" s="32" t="s">
        <v>66</v>
      </c>
      <c r="C50" s="14"/>
      <c r="D50" s="14"/>
      <c r="E50" s="14"/>
      <c r="F50" s="14"/>
      <c r="G50" s="14"/>
      <c r="H50" s="14"/>
      <c r="I50" s="16"/>
      <c r="J50" s="14"/>
      <c r="K50" s="14"/>
      <c r="L50" s="14"/>
      <c r="M50" s="14"/>
      <c r="N50" s="14"/>
      <c r="O50" s="14"/>
      <c r="P50" s="16"/>
      <c r="Q50" s="14"/>
      <c r="R50" s="14"/>
      <c r="S50" s="14"/>
      <c r="T50" s="14"/>
      <c r="U50" s="14"/>
      <c r="V50" s="14"/>
      <c r="W50" s="16"/>
      <c r="X50" s="14" t="n">
        <v>650</v>
      </c>
      <c r="Y50" s="14"/>
      <c r="Z50" s="14"/>
      <c r="AA50" s="14"/>
      <c r="AB50" s="14"/>
      <c r="AC50" s="14"/>
      <c r="AD50" s="16"/>
      <c r="AE50" s="14"/>
      <c r="AF50" s="14"/>
      <c r="AG50" s="14"/>
      <c r="AH50" s="47" t="n">
        <f aca="false">SUM(C50:AG50)</f>
        <v>650</v>
      </c>
    </row>
    <row r="51" customFormat="false" ht="12.75" hidden="false" customHeight="true" outlineLevel="0" collapsed="false">
      <c r="B51" s="32" t="s">
        <v>67</v>
      </c>
      <c r="C51" s="14"/>
      <c r="D51" s="14"/>
      <c r="E51" s="14"/>
      <c r="F51" s="14"/>
      <c r="G51" s="14"/>
      <c r="H51" s="14"/>
      <c r="I51" s="16"/>
      <c r="J51" s="14" t="n">
        <v>594.67</v>
      </c>
      <c r="K51" s="14"/>
      <c r="L51" s="14" t="n">
        <v>287.6</v>
      </c>
      <c r="M51" s="14"/>
      <c r="N51" s="14"/>
      <c r="O51" s="14"/>
      <c r="P51" s="16"/>
      <c r="Q51" s="14"/>
      <c r="R51" s="14"/>
      <c r="S51" s="14"/>
      <c r="T51" s="14" t="n">
        <v>79.5</v>
      </c>
      <c r="U51" s="14"/>
      <c r="V51" s="14"/>
      <c r="W51" s="16"/>
      <c r="X51" s="14"/>
      <c r="Y51" s="14"/>
      <c r="Z51" s="14"/>
      <c r="AA51" s="14"/>
      <c r="AB51" s="14"/>
      <c r="AC51" s="14"/>
      <c r="AD51" s="16"/>
      <c r="AE51" s="14"/>
      <c r="AF51" s="14"/>
      <c r="AG51" s="14"/>
      <c r="AH51" s="47" t="n">
        <f aca="false">SUM(C51:AG51)</f>
        <v>961.77</v>
      </c>
    </row>
    <row r="52" customFormat="false" ht="12.75" hidden="false" customHeight="true" outlineLevel="0" collapsed="false">
      <c r="B52" s="32" t="s">
        <v>68</v>
      </c>
      <c r="C52" s="14"/>
      <c r="D52" s="14"/>
      <c r="E52" s="14"/>
      <c r="F52" s="14"/>
      <c r="G52" s="14"/>
      <c r="H52" s="14"/>
      <c r="I52" s="16"/>
      <c r="J52" s="14" t="n">
        <v>70</v>
      </c>
      <c r="K52" s="14"/>
      <c r="L52" s="14"/>
      <c r="M52" s="14"/>
      <c r="N52" s="14"/>
      <c r="O52" s="14"/>
      <c r="P52" s="16"/>
      <c r="Q52" s="14"/>
      <c r="R52" s="14"/>
      <c r="S52" s="14"/>
      <c r="T52" s="14"/>
      <c r="U52" s="14"/>
      <c r="V52" s="14"/>
      <c r="W52" s="16"/>
      <c r="X52" s="14"/>
      <c r="Y52" s="14"/>
      <c r="Z52" s="14"/>
      <c r="AA52" s="14"/>
      <c r="AB52" s="14"/>
      <c r="AC52" s="14"/>
      <c r="AD52" s="16"/>
      <c r="AE52" s="14"/>
      <c r="AF52" s="14"/>
      <c r="AG52" s="14"/>
      <c r="AH52" s="47" t="n">
        <f aca="false">SUM(C52:AG52)</f>
        <v>70</v>
      </c>
    </row>
    <row r="53" customFormat="false" ht="12.75" hidden="false" customHeight="true" outlineLevel="0" collapsed="false">
      <c r="B53" s="32" t="s">
        <v>69</v>
      </c>
      <c r="C53" s="14"/>
      <c r="D53" s="14"/>
      <c r="E53" s="14"/>
      <c r="F53" s="14"/>
      <c r="G53" s="14"/>
      <c r="H53" s="14"/>
      <c r="I53" s="16"/>
      <c r="J53" s="14"/>
      <c r="K53" s="14"/>
      <c r="L53" s="14" t="n">
        <v>430</v>
      </c>
      <c r="M53" s="14"/>
      <c r="N53" s="14"/>
      <c r="O53" s="14"/>
      <c r="P53" s="16"/>
      <c r="Q53" s="14"/>
      <c r="R53" s="14"/>
      <c r="S53" s="14"/>
      <c r="T53" s="14"/>
      <c r="U53" s="14"/>
      <c r="V53" s="14"/>
      <c r="W53" s="16"/>
      <c r="X53" s="14"/>
      <c r="Y53" s="14"/>
      <c r="Z53" s="14"/>
      <c r="AA53" s="14"/>
      <c r="AB53" s="14"/>
      <c r="AC53" s="14"/>
      <c r="AD53" s="16"/>
      <c r="AE53" s="14"/>
      <c r="AF53" s="14" t="n">
        <v>724</v>
      </c>
      <c r="AG53" s="14"/>
      <c r="AH53" s="47" t="n">
        <f aca="false">SUM(C53:AG53)</f>
        <v>1154</v>
      </c>
    </row>
    <row r="54" customFormat="false" ht="12.75" hidden="false" customHeight="true" outlineLevel="0" collapsed="false">
      <c r="B54" s="32" t="s">
        <v>70</v>
      </c>
      <c r="C54" s="14"/>
      <c r="D54" s="14"/>
      <c r="E54" s="14"/>
      <c r="F54" s="14"/>
      <c r="G54" s="14"/>
      <c r="H54" s="14"/>
      <c r="I54" s="16"/>
      <c r="J54" s="14"/>
      <c r="K54" s="14"/>
      <c r="L54" s="14" t="n">
        <v>107</v>
      </c>
      <c r="M54" s="14"/>
      <c r="N54" s="14"/>
      <c r="O54" s="14"/>
      <c r="P54" s="16"/>
      <c r="Q54" s="14"/>
      <c r="R54" s="14"/>
      <c r="S54" s="14"/>
      <c r="T54" s="14"/>
      <c r="U54" s="14"/>
      <c r="V54" s="14"/>
      <c r="W54" s="16"/>
      <c r="X54" s="14"/>
      <c r="Y54" s="14"/>
      <c r="Z54" s="14"/>
      <c r="AA54" s="14"/>
      <c r="AB54" s="14"/>
      <c r="AC54" s="14"/>
      <c r="AD54" s="16"/>
      <c r="AE54" s="14"/>
      <c r="AF54" s="14"/>
      <c r="AG54" s="14"/>
      <c r="AH54" s="47" t="n">
        <f aca="false">SUM(C54:AG54)</f>
        <v>107</v>
      </c>
    </row>
    <row r="55" customFormat="false" ht="12.75" hidden="false" customHeight="true" outlineLevel="0" collapsed="false">
      <c r="B55" s="32" t="s">
        <v>71</v>
      </c>
      <c r="C55" s="14"/>
      <c r="D55" s="14"/>
      <c r="E55" s="14"/>
      <c r="F55" s="14"/>
      <c r="G55" s="14"/>
      <c r="H55" s="14"/>
      <c r="I55" s="16"/>
      <c r="J55" s="14"/>
      <c r="K55" s="14"/>
      <c r="L55" s="14"/>
      <c r="M55" s="14" t="n">
        <v>468</v>
      </c>
      <c r="N55" s="14"/>
      <c r="O55" s="14"/>
      <c r="P55" s="16"/>
      <c r="Q55" s="14"/>
      <c r="R55" s="14"/>
      <c r="S55" s="14"/>
      <c r="T55" s="14"/>
      <c r="U55" s="14"/>
      <c r="V55" s="14"/>
      <c r="W55" s="16"/>
      <c r="X55" s="14" t="n">
        <v>542</v>
      </c>
      <c r="Y55" s="14"/>
      <c r="Z55" s="14"/>
      <c r="AA55" s="14"/>
      <c r="AB55" s="14"/>
      <c r="AC55" s="14"/>
      <c r="AD55" s="16"/>
      <c r="AE55" s="14" t="n">
        <v>468</v>
      </c>
      <c r="AF55" s="14"/>
      <c r="AG55" s="14"/>
      <c r="AH55" s="47" t="n">
        <f aca="false">SUM(C55:AG55)</f>
        <v>1478</v>
      </c>
    </row>
    <row r="56" customFormat="false" ht="12.75" hidden="false" customHeight="true" outlineLevel="0" collapsed="false">
      <c r="B56" s="32" t="s">
        <v>72</v>
      </c>
      <c r="C56" s="14"/>
      <c r="D56" s="14"/>
      <c r="E56" s="14"/>
      <c r="F56" s="14"/>
      <c r="G56" s="14"/>
      <c r="H56" s="14"/>
      <c r="I56" s="16"/>
      <c r="J56" s="14"/>
      <c r="K56" s="14"/>
      <c r="L56" s="14"/>
      <c r="M56" s="14" t="n">
        <v>60</v>
      </c>
      <c r="N56" s="14"/>
      <c r="O56" s="14"/>
      <c r="P56" s="16"/>
      <c r="Q56" s="14"/>
      <c r="R56" s="14"/>
      <c r="S56" s="14"/>
      <c r="T56" s="14"/>
      <c r="U56" s="14"/>
      <c r="V56" s="14"/>
      <c r="W56" s="16"/>
      <c r="X56" s="14"/>
      <c r="Y56" s="14"/>
      <c r="Z56" s="14"/>
      <c r="AA56" s="14"/>
      <c r="AB56" s="14"/>
      <c r="AC56" s="14"/>
      <c r="AD56" s="16"/>
      <c r="AE56" s="14"/>
      <c r="AF56" s="14"/>
      <c r="AG56" s="14"/>
      <c r="AH56" s="47" t="n">
        <f aca="false">SUM(C56:AG56)</f>
        <v>60</v>
      </c>
    </row>
    <row r="57" customFormat="false" ht="12.75" hidden="false" customHeight="true" outlineLevel="0" collapsed="false">
      <c r="B57" s="32" t="s">
        <v>73</v>
      </c>
      <c r="C57" s="14"/>
      <c r="D57" s="14"/>
      <c r="E57" s="14"/>
      <c r="F57" s="14"/>
      <c r="G57" s="14"/>
      <c r="H57" s="14"/>
      <c r="I57" s="16"/>
      <c r="J57" s="14"/>
      <c r="K57" s="14"/>
      <c r="L57" s="14"/>
      <c r="M57" s="14"/>
      <c r="N57" s="14"/>
      <c r="O57" s="14"/>
      <c r="P57" s="16"/>
      <c r="Q57" s="14" t="n">
        <v>90</v>
      </c>
      <c r="R57" s="14"/>
      <c r="S57" s="14"/>
      <c r="T57" s="14"/>
      <c r="U57" s="14"/>
      <c r="V57" s="14"/>
      <c r="W57" s="16"/>
      <c r="X57" s="14"/>
      <c r="Y57" s="14"/>
      <c r="Z57" s="14"/>
      <c r="AA57" s="14"/>
      <c r="AB57" s="14"/>
      <c r="AC57" s="14"/>
      <c r="AD57" s="16"/>
      <c r="AE57" s="14"/>
      <c r="AF57" s="14"/>
      <c r="AG57" s="14"/>
      <c r="AH57" s="47" t="n">
        <f aca="false">SUM(C57:AG57)</f>
        <v>90</v>
      </c>
    </row>
    <row r="58" customFormat="false" ht="12.75" hidden="false" customHeight="true" outlineLevel="0" collapsed="false">
      <c r="B58" s="32" t="s">
        <v>74</v>
      </c>
      <c r="C58" s="14"/>
      <c r="D58" s="14"/>
      <c r="E58" s="14"/>
      <c r="F58" s="14"/>
      <c r="G58" s="14"/>
      <c r="H58" s="14"/>
      <c r="I58" s="16"/>
      <c r="J58" s="14"/>
      <c r="K58" s="14"/>
      <c r="L58" s="14"/>
      <c r="M58" s="14"/>
      <c r="N58" s="14"/>
      <c r="O58" s="14"/>
      <c r="P58" s="16"/>
      <c r="Q58" s="14"/>
      <c r="R58" s="14"/>
      <c r="S58" s="14"/>
      <c r="T58" s="14"/>
      <c r="U58" s="14"/>
      <c r="V58" s="14"/>
      <c r="W58" s="16"/>
      <c r="X58" s="14" t="n">
        <v>110</v>
      </c>
      <c r="Y58" s="14"/>
      <c r="Z58" s="14"/>
      <c r="AA58" s="14"/>
      <c r="AB58" s="14"/>
      <c r="AC58" s="14"/>
      <c r="AD58" s="16"/>
      <c r="AE58" s="14"/>
      <c r="AF58" s="14"/>
      <c r="AG58" s="14"/>
      <c r="AH58" s="47" t="n">
        <f aca="false">SUM(C58:AG58)</f>
        <v>110</v>
      </c>
    </row>
    <row r="59" customFormat="false" ht="12.75" hidden="false" customHeight="true" outlineLevel="0" collapsed="false">
      <c r="B59" s="32" t="s">
        <v>75</v>
      </c>
      <c r="C59" s="14"/>
      <c r="D59" s="14"/>
      <c r="E59" s="14"/>
      <c r="F59" s="14"/>
      <c r="G59" s="14"/>
      <c r="H59" s="14"/>
      <c r="I59" s="16"/>
      <c r="J59" s="14"/>
      <c r="K59" s="14"/>
      <c r="L59" s="14"/>
      <c r="M59" s="14"/>
      <c r="N59" s="14"/>
      <c r="O59" s="14"/>
      <c r="P59" s="16"/>
      <c r="Q59" s="14"/>
      <c r="R59" s="14"/>
      <c r="S59" s="14"/>
      <c r="T59" s="14"/>
      <c r="U59" s="14"/>
      <c r="V59" s="14"/>
      <c r="W59" s="16"/>
      <c r="X59" s="14"/>
      <c r="Y59" s="14" t="n">
        <v>146.3</v>
      </c>
      <c r="Z59" s="14"/>
      <c r="AA59" s="14"/>
      <c r="AB59" s="14"/>
      <c r="AC59" s="14"/>
      <c r="AD59" s="16"/>
      <c r="AE59" s="14"/>
      <c r="AF59" s="14"/>
      <c r="AG59" s="14"/>
      <c r="AH59" s="47" t="n">
        <f aca="false">SUM(C59:AG59)</f>
        <v>146.3</v>
      </c>
    </row>
    <row r="60" customFormat="false" ht="12.75" hidden="false" customHeight="true" outlineLevel="0" collapsed="false">
      <c r="B60" s="32" t="s">
        <v>67</v>
      </c>
      <c r="C60" s="14"/>
      <c r="D60" s="14"/>
      <c r="E60" s="14"/>
      <c r="F60" s="14"/>
      <c r="G60" s="14"/>
      <c r="H60" s="14"/>
      <c r="I60" s="16"/>
      <c r="J60" s="14"/>
      <c r="K60" s="14"/>
      <c r="L60" s="14"/>
      <c r="M60" s="14"/>
      <c r="N60" s="14"/>
      <c r="O60" s="14"/>
      <c r="P60" s="16"/>
      <c r="Q60" s="14"/>
      <c r="R60" s="14"/>
      <c r="S60" s="14"/>
      <c r="T60" s="14"/>
      <c r="U60" s="14"/>
      <c r="V60" s="14"/>
      <c r="W60" s="16"/>
      <c r="X60" s="14"/>
      <c r="Y60" s="14"/>
      <c r="Z60" s="14"/>
      <c r="AA60" s="14"/>
      <c r="AB60" s="14" t="n">
        <v>137.7</v>
      </c>
      <c r="AC60" s="14" t="n">
        <v>57.1</v>
      </c>
      <c r="AD60" s="16"/>
      <c r="AE60" s="14" t="n">
        <v>105.52</v>
      </c>
      <c r="AF60" s="14"/>
      <c r="AG60" s="14"/>
      <c r="AH60" s="47" t="n">
        <f aca="false">SUM(C60:AG60)</f>
        <v>300.32</v>
      </c>
    </row>
    <row r="61" customFormat="false" ht="12.75" hidden="false" customHeight="true" outlineLevel="0" collapsed="false">
      <c r="B61" s="32"/>
      <c r="C61" s="14"/>
      <c r="D61" s="14"/>
      <c r="E61" s="14"/>
      <c r="F61" s="14"/>
      <c r="G61" s="14"/>
      <c r="H61" s="14"/>
      <c r="I61" s="16"/>
      <c r="J61" s="14"/>
      <c r="K61" s="14"/>
      <c r="L61" s="14"/>
      <c r="M61" s="14"/>
      <c r="N61" s="14"/>
      <c r="O61" s="14"/>
      <c r="P61" s="16"/>
      <c r="Q61" s="14"/>
      <c r="R61" s="14"/>
      <c r="S61" s="14"/>
      <c r="T61" s="14"/>
      <c r="U61" s="14"/>
      <c r="V61" s="14"/>
      <c r="W61" s="16"/>
      <c r="X61" s="14"/>
      <c r="Y61" s="14"/>
      <c r="Z61" s="14"/>
      <c r="AA61" s="14"/>
      <c r="AB61" s="14"/>
      <c r="AC61" s="14"/>
      <c r="AD61" s="16"/>
      <c r="AE61" s="14"/>
      <c r="AF61" s="14"/>
      <c r="AG61" s="14"/>
      <c r="AH61" s="47" t="n">
        <f aca="false">SUM(C61:AG61)</f>
        <v>0</v>
      </c>
    </row>
    <row r="62" customFormat="false" ht="12.75" hidden="false" customHeight="true" outlineLevel="0" collapsed="false">
      <c r="B62" s="32"/>
      <c r="C62" s="14"/>
      <c r="D62" s="14"/>
      <c r="E62" s="14"/>
      <c r="F62" s="14"/>
      <c r="G62" s="14"/>
      <c r="H62" s="14"/>
      <c r="I62" s="16"/>
      <c r="J62" s="14"/>
      <c r="K62" s="14"/>
      <c r="L62" s="14"/>
      <c r="M62" s="14"/>
      <c r="N62" s="14"/>
      <c r="O62" s="14"/>
      <c r="P62" s="16"/>
      <c r="Q62" s="14"/>
      <c r="R62" s="14"/>
      <c r="S62" s="14"/>
      <c r="T62" s="14"/>
      <c r="U62" s="14"/>
      <c r="V62" s="14"/>
      <c r="W62" s="16"/>
      <c r="X62" s="14"/>
      <c r="Y62" s="14"/>
      <c r="Z62" s="14"/>
      <c r="AA62" s="14"/>
      <c r="AB62" s="14"/>
      <c r="AC62" s="14"/>
      <c r="AD62" s="16"/>
      <c r="AE62" s="14"/>
      <c r="AF62" s="14"/>
      <c r="AG62" s="14"/>
      <c r="AH62" s="47" t="n">
        <f aca="false">SUM(C62:AG62)</f>
        <v>0</v>
      </c>
    </row>
    <row r="63" customFormat="false" ht="12.75" hidden="false" customHeight="true" outlineLevel="0" collapsed="false">
      <c r="B63" s="32"/>
      <c r="C63" s="14"/>
      <c r="D63" s="14"/>
      <c r="E63" s="14"/>
      <c r="F63" s="14"/>
      <c r="G63" s="14"/>
      <c r="H63" s="14"/>
      <c r="I63" s="16"/>
      <c r="J63" s="14"/>
      <c r="K63" s="14"/>
      <c r="L63" s="14"/>
      <c r="M63" s="14"/>
      <c r="N63" s="14"/>
      <c r="O63" s="14"/>
      <c r="P63" s="16"/>
      <c r="Q63" s="14"/>
      <c r="R63" s="14"/>
      <c r="S63" s="14"/>
      <c r="T63" s="14"/>
      <c r="U63" s="14"/>
      <c r="V63" s="14"/>
      <c r="W63" s="16"/>
      <c r="X63" s="14"/>
      <c r="Y63" s="14"/>
      <c r="Z63" s="14"/>
      <c r="AA63" s="14"/>
      <c r="AB63" s="14"/>
      <c r="AC63" s="14"/>
      <c r="AD63" s="16"/>
      <c r="AE63" s="14"/>
      <c r="AF63" s="14"/>
      <c r="AG63" s="14"/>
      <c r="AH63" s="47" t="n">
        <f aca="false">SUM(C63:AG63)</f>
        <v>0</v>
      </c>
    </row>
    <row r="64" customFormat="false" ht="12.75" hidden="false" customHeight="true" outlineLevel="0" collapsed="false">
      <c r="B64" s="32"/>
      <c r="C64" s="14"/>
      <c r="D64" s="14"/>
      <c r="E64" s="14"/>
      <c r="F64" s="14"/>
      <c r="G64" s="14"/>
      <c r="H64" s="14"/>
      <c r="I64" s="16"/>
      <c r="J64" s="14"/>
      <c r="K64" s="14"/>
      <c r="L64" s="14"/>
      <c r="M64" s="14"/>
      <c r="N64" s="14"/>
      <c r="O64" s="14"/>
      <c r="P64" s="16"/>
      <c r="Q64" s="14"/>
      <c r="R64" s="14"/>
      <c r="S64" s="14"/>
      <c r="T64" s="14"/>
      <c r="U64" s="14"/>
      <c r="V64" s="14"/>
      <c r="W64" s="16"/>
      <c r="X64" s="14"/>
      <c r="Y64" s="14"/>
      <c r="Z64" s="14"/>
      <c r="AA64" s="14"/>
      <c r="AB64" s="14"/>
      <c r="AC64" s="14"/>
      <c r="AD64" s="16"/>
      <c r="AE64" s="14"/>
      <c r="AF64" s="14"/>
      <c r="AG64" s="14"/>
      <c r="AH64" s="47" t="n">
        <f aca="false">SUM(C64:AG64)</f>
        <v>0</v>
      </c>
    </row>
    <row r="65" customFormat="false" ht="12.75" hidden="false" customHeight="true" outlineLevel="0" collapsed="false">
      <c r="B65" s="55" t="s">
        <v>36</v>
      </c>
      <c r="C65" s="42" t="n">
        <f aca="false">SUM(C43:C64)</f>
        <v>0</v>
      </c>
      <c r="D65" s="42" t="n">
        <f aca="false">SUM(D43:D64)</f>
        <v>1147.61</v>
      </c>
      <c r="E65" s="23" t="n">
        <f aca="false">SUM(E43:E64)</f>
        <v>1040</v>
      </c>
      <c r="F65" s="23" t="n">
        <f aca="false">SUM(F43:F64)</f>
        <v>0</v>
      </c>
      <c r="G65" s="23" t="n">
        <f aca="false">SUM(G43:G64)</f>
        <v>0</v>
      </c>
      <c r="H65" s="23" t="n">
        <f aca="false">SUM(H43:H64)</f>
        <v>0</v>
      </c>
      <c r="I65" s="16" t="n">
        <f aca="false">SUM(I43:I64)</f>
        <v>0</v>
      </c>
      <c r="J65" s="23" t="n">
        <f aca="false">SUM(J43:J64)</f>
        <v>664.67</v>
      </c>
      <c r="K65" s="23" t="n">
        <f aca="false">SUM(K43:K64)</f>
        <v>2023.26</v>
      </c>
      <c r="L65" s="23" t="n">
        <f aca="false">SUM(L43:L64)</f>
        <v>824.6</v>
      </c>
      <c r="M65" s="23" t="n">
        <f aca="false">SUM(M43:M64)</f>
        <v>1661</v>
      </c>
      <c r="N65" s="23" t="n">
        <f aca="false">SUM(N43:N64)</f>
        <v>0</v>
      </c>
      <c r="O65" s="23" t="n">
        <f aca="false">SUM(O43:O64)</f>
        <v>0</v>
      </c>
      <c r="P65" s="23" t="n">
        <f aca="false">SUM(P43:P64)</f>
        <v>0</v>
      </c>
      <c r="Q65" s="23" t="n">
        <f aca="false">SUM(Q43:Q64)</f>
        <v>90</v>
      </c>
      <c r="R65" s="23" t="n">
        <f aca="false">SUM(R43:R64)</f>
        <v>532.44</v>
      </c>
      <c r="S65" s="23" t="n">
        <f aca="false">SUM(S43:S64)</f>
        <v>0</v>
      </c>
      <c r="T65" s="23" t="n">
        <f aca="false">SUM(T43:T64)</f>
        <v>79.5</v>
      </c>
      <c r="U65" s="23" t="n">
        <f aca="false">SUM(U43:U64)</f>
        <v>0</v>
      </c>
      <c r="V65" s="23" t="n">
        <f aca="false">SUM(V43:V64)</f>
        <v>0</v>
      </c>
      <c r="W65" s="23" t="n">
        <f aca="false">SUM(W43:W64)</f>
        <v>0</v>
      </c>
      <c r="X65" s="23" t="n">
        <f aca="false">SUM(X43:X64)</f>
        <v>2294.85</v>
      </c>
      <c r="Y65" s="23" t="n">
        <f aca="false">SUM(Y43:Y64)</f>
        <v>1540.9</v>
      </c>
      <c r="Z65" s="23" t="n">
        <f aca="false">SUM(Z43:Z64)</f>
        <v>1836.5</v>
      </c>
      <c r="AA65" s="23" t="n">
        <f aca="false">SUM(AA43:AA64)</f>
        <v>0</v>
      </c>
      <c r="AB65" s="23" t="n">
        <f aca="false">SUM(AB43:AB64)</f>
        <v>137.7</v>
      </c>
      <c r="AC65" s="23" t="n">
        <f aca="false">SUM(AC43:AC64)</f>
        <v>57.1</v>
      </c>
      <c r="AD65" s="23" t="n">
        <f aca="false">SUM(AD43:AD64)</f>
        <v>0</v>
      </c>
      <c r="AE65" s="23" t="n">
        <f aca="false">SUM(AE43:AE64)</f>
        <v>573.52</v>
      </c>
      <c r="AF65" s="23" t="n">
        <f aca="false">SUM(AF43:AF64)</f>
        <v>4936.82</v>
      </c>
      <c r="AG65" s="23" t="n">
        <f aca="false">SUM(AG43:AG64)</f>
        <v>214.97</v>
      </c>
      <c r="AH65" s="47" t="n">
        <f aca="false">SUM(C65:AG65)</f>
        <v>19655.44</v>
      </c>
    </row>
    <row r="66" customFormat="false" ht="12.75" hidden="false" customHeight="true" outlineLevel="0" collapsed="false">
      <c r="T66" s="3"/>
    </row>
    <row r="67" customFormat="false" ht="12.75" hidden="false" customHeight="true" outlineLevel="0" collapsed="false">
      <c r="T67" s="3"/>
    </row>
    <row r="68" customFormat="false" ht="12.75" hidden="false" customHeight="true" outlineLevel="0" collapsed="false">
      <c r="T68" s="3"/>
    </row>
    <row r="69" customFormat="false" ht="12.75" hidden="false" customHeight="true" outlineLevel="0" collapsed="false">
      <c r="T69" s="3"/>
      <c r="W69" s="15" t="s">
        <v>0</v>
      </c>
      <c r="X69" s="16" t="n">
        <f aca="false">SUM(AH8)</f>
        <v>29021.88</v>
      </c>
    </row>
    <row r="70" customFormat="false" ht="12.75" hidden="false" customHeight="true" outlineLevel="0" collapsed="false">
      <c r="T70" s="3"/>
      <c r="W70" s="15" t="s">
        <v>76</v>
      </c>
      <c r="X70" s="56" t="n">
        <f aca="false">SUM(AH27+AH40+AH65)</f>
        <v>25221.91</v>
      </c>
      <c r="Z70" s="57" t="s">
        <v>77</v>
      </c>
      <c r="AA70" s="58"/>
      <c r="AB70" s="58"/>
      <c r="AC70" s="58"/>
      <c r="AD70" s="58"/>
      <c r="AE70" s="58"/>
      <c r="AF70" s="59"/>
    </row>
    <row r="71" customFormat="false" ht="12.75" hidden="false" customHeight="true" outlineLevel="0" collapsed="false">
      <c r="T71" s="3"/>
      <c r="W71" s="15" t="s">
        <v>78</v>
      </c>
      <c r="X71" s="60" t="n">
        <f aca="false">SUM(X69-X70)</f>
        <v>3799.97</v>
      </c>
      <c r="Z71" s="15" t="s">
        <v>79</v>
      </c>
      <c r="AA71" s="15" t="s">
        <v>80</v>
      </c>
      <c r="AB71" s="15" t="s">
        <v>81</v>
      </c>
      <c r="AC71" s="15" t="s">
        <v>82</v>
      </c>
      <c r="AD71" s="15" t="s">
        <v>83</v>
      </c>
      <c r="AE71" s="15" t="s">
        <v>84</v>
      </c>
      <c r="AF71" s="15" t="s">
        <v>85</v>
      </c>
    </row>
    <row r="72" customFormat="false" ht="12.75" hidden="false" customHeight="true" outlineLevel="0" collapsed="false">
      <c r="T72" s="3"/>
      <c r="Z72" s="61" t="n">
        <v>664</v>
      </c>
      <c r="AA72" s="61" t="n">
        <v>755</v>
      </c>
      <c r="AB72" s="61" t="n">
        <v>1116</v>
      </c>
      <c r="AC72" s="61" t="n">
        <v>1324</v>
      </c>
      <c r="AD72" s="61" t="n">
        <v>1661</v>
      </c>
      <c r="AE72" s="61" t="n">
        <v>1682.3</v>
      </c>
      <c r="AF72" s="61" t="n">
        <v>1405</v>
      </c>
    </row>
    <row r="73" customFormat="false" ht="12.75" hidden="false" customHeight="true" outlineLevel="0" collapsed="false">
      <c r="T73" s="3"/>
      <c r="Z73" s="62"/>
      <c r="AA73" s="62"/>
      <c r="AB73" s="62"/>
      <c r="AC73" s="62"/>
      <c r="AD73" s="62"/>
      <c r="AE73" s="62"/>
      <c r="AF73" s="62"/>
    </row>
    <row r="74" customFormat="false" ht="12.75" hidden="false" customHeight="true" outlineLevel="0" collapsed="false">
      <c r="T74" s="3"/>
      <c r="Z74" s="57" t="s">
        <v>86</v>
      </c>
      <c r="AA74" s="58"/>
      <c r="AB74" s="58"/>
      <c r="AC74" s="58"/>
      <c r="AD74" s="58"/>
      <c r="AE74" s="58"/>
      <c r="AF74" s="59"/>
    </row>
    <row r="75" customFormat="false" ht="12.75" hidden="false" customHeight="true" outlineLevel="0" collapsed="false">
      <c r="T75" s="3"/>
      <c r="Z75" s="15" t="s">
        <v>79</v>
      </c>
      <c r="AA75" s="15" t="s">
        <v>80</v>
      </c>
      <c r="AB75" s="15" t="s">
        <v>81</v>
      </c>
      <c r="AC75" s="15" t="s">
        <v>82</v>
      </c>
      <c r="AD75" s="15" t="s">
        <v>83</v>
      </c>
      <c r="AE75" s="15" t="s">
        <v>84</v>
      </c>
      <c r="AF75" s="15" t="s">
        <v>85</v>
      </c>
    </row>
    <row r="76" customFormat="false" ht="12.75" hidden="false" customHeight="true" outlineLevel="0" collapsed="false">
      <c r="T76" s="3"/>
      <c r="Z76" s="61"/>
      <c r="AA76" s="61" t="n">
        <v>19652.62</v>
      </c>
      <c r="AB76" s="61" t="n">
        <v>29021.88</v>
      </c>
      <c r="AC76" s="61" t="n">
        <v>34131.36</v>
      </c>
      <c r="AD76" s="61" t="n">
        <v>40454.89</v>
      </c>
      <c r="AE76" s="61" t="n">
        <v>43732.84</v>
      </c>
      <c r="AF76" s="61"/>
    </row>
    <row r="77" customFormat="false" ht="10.5" hidden="false" customHeight="true" outlineLevel="0" collapsed="false">
      <c r="T77" s="3"/>
    </row>
    <row r="78" customFormat="false" ht="12.75" hidden="false" customHeight="true" outlineLevel="0" collapsed="false">
      <c r="T78" s="3"/>
      <c r="Z78" s="57" t="s">
        <v>87</v>
      </c>
      <c r="AA78" s="58"/>
      <c r="AB78" s="58"/>
      <c r="AC78" s="58"/>
      <c r="AD78" s="58"/>
      <c r="AE78" s="58"/>
      <c r="AF78" s="59"/>
    </row>
    <row r="79" customFormat="false" ht="12.75" hidden="false" customHeight="true" outlineLevel="0" collapsed="false">
      <c r="T79" s="3"/>
      <c r="Z79" s="15" t="s">
        <v>79</v>
      </c>
      <c r="AA79" s="15" t="s">
        <v>80</v>
      </c>
      <c r="AB79" s="15" t="s">
        <v>81</v>
      </c>
      <c r="AC79" s="15" t="s">
        <v>82</v>
      </c>
      <c r="AD79" s="15" t="s">
        <v>83</v>
      </c>
      <c r="AE79" s="15" t="s">
        <v>84</v>
      </c>
      <c r="AF79" s="15" t="s">
        <v>85</v>
      </c>
    </row>
    <row r="80" customFormat="false" ht="12.75" hidden="false" customHeight="true" outlineLevel="0" collapsed="false">
      <c r="T80" s="3"/>
      <c r="Z80" s="63"/>
      <c r="AA80" s="64" t="n">
        <v>3311.72</v>
      </c>
      <c r="AB80" s="63" t="n">
        <v>3555.97</v>
      </c>
      <c r="AC80" s="63" t="n">
        <v>5568.57</v>
      </c>
      <c r="AD80" s="63" t="n">
        <v>6468.57</v>
      </c>
      <c r="AE80" s="65" t="n">
        <v>6518.23</v>
      </c>
      <c r="AF80" s="63"/>
    </row>
    <row r="81" customFormat="false" ht="12.75" hidden="false" customHeight="true" outlineLevel="0" collapsed="false">
      <c r="T81" s="3"/>
    </row>
    <row r="82" customFormat="false" ht="12.75" hidden="false" customHeight="true" outlineLevel="0" collapsed="false">
      <c r="T82" s="3"/>
      <c r="Z82" s="57" t="s">
        <v>88</v>
      </c>
      <c r="AA82" s="58"/>
      <c r="AB82" s="58"/>
      <c r="AC82" s="58"/>
      <c r="AD82" s="58"/>
      <c r="AE82" s="58"/>
      <c r="AF82" s="59"/>
    </row>
    <row r="83" customFormat="false" ht="12.75" hidden="false" customHeight="true" outlineLevel="0" collapsed="false">
      <c r="T83" s="3"/>
      <c r="Z83" s="15" t="s">
        <v>79</v>
      </c>
      <c r="AA83" s="15" t="s">
        <v>80</v>
      </c>
      <c r="AB83" s="15" t="s">
        <v>81</v>
      </c>
      <c r="AC83" s="15" t="s">
        <v>82</v>
      </c>
      <c r="AD83" s="15" t="s">
        <v>83</v>
      </c>
      <c r="AE83" s="15" t="s">
        <v>84</v>
      </c>
      <c r="AF83" s="15" t="s">
        <v>85</v>
      </c>
    </row>
    <row r="84" customFormat="false" ht="12.75" hidden="false" customHeight="true" outlineLevel="0" collapsed="false">
      <c r="T84" s="3"/>
      <c r="Z84" s="63"/>
      <c r="AA84" s="66" t="n">
        <v>1180</v>
      </c>
      <c r="AB84" s="63" t="n">
        <v>2010.5</v>
      </c>
      <c r="AC84" s="63" t="n">
        <v>182</v>
      </c>
      <c r="AD84" s="63" t="n">
        <v>677</v>
      </c>
      <c r="AE84" s="63" t="n">
        <v>360.11</v>
      </c>
      <c r="AF84" s="63"/>
    </row>
    <row r="85" customFormat="false" ht="12.75" hidden="false" customHeight="true" outlineLevel="0" collapsed="false">
      <c r="T85" s="3"/>
    </row>
    <row r="86" customFormat="false" ht="12.75" hidden="false" customHeight="true" outlineLevel="0" collapsed="false">
      <c r="T86" s="3"/>
      <c r="Z86" s="57" t="s">
        <v>89</v>
      </c>
      <c r="AA86" s="58"/>
      <c r="AB86" s="58"/>
      <c r="AC86" s="58"/>
      <c r="AD86" s="58"/>
      <c r="AE86" s="58"/>
      <c r="AF86" s="59"/>
    </row>
    <row r="87" customFormat="false" ht="12.75" hidden="false" customHeight="true" outlineLevel="0" collapsed="false">
      <c r="T87" s="3"/>
      <c r="Z87" s="15" t="s">
        <v>79</v>
      </c>
      <c r="AA87" s="15" t="s">
        <v>80</v>
      </c>
      <c r="AB87" s="15" t="s">
        <v>81</v>
      </c>
      <c r="AC87" s="15" t="s">
        <v>82</v>
      </c>
      <c r="AD87" s="15" t="s">
        <v>83</v>
      </c>
      <c r="AE87" s="15" t="s">
        <v>84</v>
      </c>
      <c r="AF87" s="15" t="s">
        <v>85</v>
      </c>
    </row>
    <row r="88" customFormat="false" ht="12.75" hidden="false" customHeight="true" outlineLevel="0" collapsed="false">
      <c r="T88" s="3"/>
      <c r="Z88" s="63"/>
      <c r="AA88" s="64" t="n">
        <v>13495.17</v>
      </c>
      <c r="AB88" s="63" t="n">
        <v>19655.44</v>
      </c>
      <c r="AC88" s="63" t="n">
        <v>24709.87</v>
      </c>
      <c r="AD88" s="63" t="n">
        <v>30004.82</v>
      </c>
      <c r="AE88" s="63" t="n">
        <v>21261</v>
      </c>
      <c r="AF88" s="63" t="n">
        <v>26044</v>
      </c>
    </row>
    <row r="89" customFormat="false" ht="12.75" hidden="false" customHeight="true" outlineLevel="0" collapsed="false">
      <c r="T89" s="3"/>
    </row>
    <row r="90" customFormat="false" ht="12.75" hidden="false" customHeight="true" outlineLevel="0" collapsed="false">
      <c r="T90" s="3"/>
    </row>
    <row r="91" customFormat="false" ht="12.75" hidden="false" customHeight="true" outlineLevel="0" collapsed="false">
      <c r="T91" s="3" t="s">
        <v>90</v>
      </c>
      <c r="U91" s="67" t="s">
        <v>91</v>
      </c>
      <c r="V91" s="1" t="s">
        <v>92</v>
      </c>
      <c r="W91" s="1" t="s">
        <v>93</v>
      </c>
      <c r="X91" s="1" t="s">
        <v>83</v>
      </c>
      <c r="Y91" s="1" t="s">
        <v>94</v>
      </c>
      <c r="Z91" s="1" t="s">
        <v>95</v>
      </c>
      <c r="AA91" s="1" t="s">
        <v>96</v>
      </c>
      <c r="AB91" s="1" t="s">
        <v>97</v>
      </c>
      <c r="AC91" s="1" t="s">
        <v>97</v>
      </c>
      <c r="AD91" s="1" t="s">
        <v>98</v>
      </c>
    </row>
    <row r="92" customFormat="false" ht="12.75" hidden="false" customHeight="true" outlineLevel="0" collapsed="false">
      <c r="T92" s="68" t="n">
        <v>7304</v>
      </c>
      <c r="U92" s="69" t="n">
        <v>19652.62</v>
      </c>
      <c r="V92" s="69" t="n">
        <v>29021.88</v>
      </c>
      <c r="W92" s="69" t="n">
        <v>34131.36</v>
      </c>
      <c r="X92" s="69" t="n">
        <v>40454</v>
      </c>
      <c r="Y92" s="69" t="n">
        <v>43732</v>
      </c>
      <c r="Z92" s="69"/>
      <c r="AA92" s="69"/>
      <c r="AB92" s="69"/>
      <c r="AC92" s="69"/>
      <c r="AD92" s="69"/>
      <c r="AE92" s="27" t="n">
        <f aca="false">SUM(T92:AD92)</f>
        <v>174295.86</v>
      </c>
    </row>
    <row r="93" customFormat="false" ht="12.75" hidden="false" customHeight="true" outlineLevel="0" collapsed="false">
      <c r="T93" s="54" t="n">
        <v>14995.69</v>
      </c>
      <c r="U93" s="70" t="n">
        <v>13495.17</v>
      </c>
      <c r="V93" s="70" t="n">
        <v>19655.44</v>
      </c>
      <c r="W93" s="70" t="n">
        <v>24709.87</v>
      </c>
      <c r="X93" s="70" t="n">
        <v>30681</v>
      </c>
      <c r="Y93" s="70" t="n">
        <v>28139.23</v>
      </c>
      <c r="Z93" s="70" t="n">
        <v>26044</v>
      </c>
      <c r="AA93" s="70"/>
      <c r="AB93" s="70"/>
      <c r="AC93" s="70"/>
      <c r="AD93" s="70"/>
      <c r="AE93" s="27" t="n">
        <f aca="false">SUM(T93:AD93)</f>
        <v>157720.4</v>
      </c>
    </row>
    <row r="94" customFormat="false" ht="12.75" hidden="false" customHeight="true" outlineLevel="0" collapsed="false">
      <c r="T94" s="71" t="n">
        <f aca="false">(T92-T93)</f>
        <v>-7691.69</v>
      </c>
      <c r="U94" s="72" t="n">
        <f aca="false">(U92-U93)</f>
        <v>6157.45</v>
      </c>
      <c r="V94" s="73" t="n">
        <f aca="false">(V92-V93)</f>
        <v>9366.44</v>
      </c>
      <c r="W94" s="73" t="n">
        <f aca="false">(W92-W93)</f>
        <v>9421.49</v>
      </c>
      <c r="X94" s="73" t="n">
        <f aca="false">(X92-X93)</f>
        <v>9773</v>
      </c>
      <c r="Y94" s="73" t="n">
        <v>15592</v>
      </c>
      <c r="Z94" s="74"/>
      <c r="AA94" s="74"/>
      <c r="AB94" s="74"/>
      <c r="AC94" s="74"/>
      <c r="AD94" s="75"/>
      <c r="AE94" s="27" t="n">
        <f aca="false">SUM(T94:AD94)</f>
        <v>42618.69</v>
      </c>
    </row>
    <row r="95" customFormat="false" ht="12.75" hidden="false" customHeight="true" outlineLevel="0" collapsed="false">
      <c r="T95" s="3"/>
    </row>
    <row r="96" customFormat="false" ht="12.75" hidden="false" customHeight="true" outlineLevel="0" collapsed="false">
      <c r="T96" s="3"/>
    </row>
    <row r="97" customFormat="false" ht="12.75" hidden="false" customHeight="true" outlineLevel="0" collapsed="false">
      <c r="T97" s="3"/>
    </row>
    <row r="98" customFormat="false" ht="12.75" hidden="false" customHeight="true" outlineLevel="0" collapsed="false">
      <c r="T98" s="3"/>
    </row>
    <row r="99" customFormat="false" ht="12.75" hidden="false" customHeight="true" outlineLevel="0" collapsed="false">
      <c r="T99" s="3"/>
    </row>
    <row r="100" customFormat="false" ht="12.75" hidden="false" customHeight="true" outlineLevel="0" collapsed="false">
      <c r="T100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2025-10-16T19:02:00Z</dcterms:created>
  <dc:creator>paulo</dc:creator>
  <dc:description/>
  <dc:language>pt-BR</dc:language>
  <cp:lastModifiedBy/>
  <dcterms:modified xsi:type="dcterms:W3CDTF">2026-06-05T11:11:01Z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6CA89B933A744F31B36E3541A3CA77A1_13</vt:lpwstr>
  </property>
  <property fmtid="{D5CDD505-2E9C-101B-9397-08002B2CF9AE}" pid="4" name="KSOProductBuildVer">
    <vt:lpwstr>1046-12.1.0.26372</vt:lpwstr>
  </property>
  <property fmtid="{D5CDD505-2E9C-101B-9397-08002B2CF9AE}" pid="5" name="KSOReadingLayout">
    <vt:bool>0</vt:bool>
  </property>
</Properties>
</file>